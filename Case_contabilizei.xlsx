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io.augusto\Downloads\"/>
    </mc:Choice>
  </mc:AlternateContent>
  <xr:revisionPtr revIDLastSave="0" documentId="8_{D6347AF0-6D1E-49B6-84EB-3E539FC1FA13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Ajudas" sheetId="1" r:id="rId1"/>
    <sheet name="Dados" sheetId="4" r:id="rId2"/>
    <sheet name="Perguntas" sheetId="5" r:id="rId3"/>
    <sheet name="pergunta 1" sheetId="7" r:id="rId4"/>
    <sheet name="pergunta 2" sheetId="6" r:id="rId5"/>
    <sheet name="Planilha1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8" l="1"/>
  <c r="G20" i="8"/>
  <c r="D20" i="6"/>
  <c r="E20" i="8"/>
  <c r="D19" i="8"/>
  <c r="AC9" i="6"/>
  <c r="W9" i="6"/>
  <c r="R9" i="6"/>
  <c r="Q9" i="6"/>
  <c r="M9" i="6"/>
  <c r="G19" i="6"/>
  <c r="F19" i="6"/>
  <c r="O45" i="6"/>
  <c r="I21" i="8"/>
  <c r="I17" i="8"/>
  <c r="V21" i="8"/>
  <c r="U21" i="8"/>
  <c r="V20" i="8"/>
  <c r="U20" i="8"/>
  <c r="V19" i="8"/>
  <c r="U19" i="8"/>
  <c r="V18" i="8"/>
  <c r="U18" i="8"/>
  <c r="V17" i="8"/>
  <c r="U17" i="8"/>
  <c r="V16" i="8"/>
  <c r="U16" i="8"/>
  <c r="V15" i="8"/>
  <c r="U15" i="8"/>
  <c r="V14" i="8"/>
  <c r="U14" i="8"/>
  <c r="V13" i="8"/>
  <c r="U13" i="8"/>
  <c r="V12" i="8"/>
  <c r="U12" i="8"/>
  <c r="V11" i="8"/>
  <c r="U11" i="8"/>
  <c r="V10" i="8"/>
  <c r="U10" i="8"/>
  <c r="V9" i="8"/>
  <c r="U9" i="8"/>
  <c r="B31" i="6"/>
  <c r="B21" i="6"/>
  <c r="B22" i="6"/>
  <c r="B23" i="6"/>
  <c r="B24" i="6"/>
  <c r="B25" i="6"/>
  <c r="B26" i="6"/>
  <c r="B27" i="6"/>
  <c r="B28" i="6"/>
  <c r="B29" i="6"/>
  <c r="B30" i="6"/>
  <c r="B20" i="6"/>
  <c r="K9" i="6"/>
  <c r="L11" i="6"/>
  <c r="L10" i="6"/>
  <c r="K10" i="6"/>
  <c r="L9" i="6"/>
  <c r="M10" i="6"/>
  <c r="L21" i="7"/>
  <c r="B67" i="7"/>
  <c r="L8" i="7"/>
  <c r="V10" i="6"/>
  <c r="AB10" i="6" s="1"/>
  <c r="V11" i="6"/>
  <c r="AB11" i="6" s="1"/>
  <c r="V12" i="6"/>
  <c r="AB12" i="6" s="1"/>
  <c r="V13" i="6"/>
  <c r="AB13" i="6" s="1"/>
  <c r="V14" i="6"/>
  <c r="AB14" i="6" s="1"/>
  <c r="V15" i="6"/>
  <c r="AB15" i="6" s="1"/>
  <c r="V16" i="6"/>
  <c r="AB16" i="6" s="1"/>
  <c r="V17" i="6"/>
  <c r="AB17" i="6" s="1"/>
  <c r="V18" i="6"/>
  <c r="AB18" i="6" s="1"/>
  <c r="V19" i="6"/>
  <c r="AB19" i="6" s="1"/>
  <c r="V20" i="6"/>
  <c r="AB20" i="6" s="1"/>
  <c r="V21" i="6"/>
  <c r="AB21" i="6" s="1"/>
  <c r="V9" i="6"/>
  <c r="U10" i="6"/>
  <c r="U11" i="6"/>
  <c r="U12" i="6"/>
  <c r="U13" i="6"/>
  <c r="U14" i="6"/>
  <c r="U15" i="6"/>
  <c r="U16" i="6"/>
  <c r="U17" i="6"/>
  <c r="U18" i="6"/>
  <c r="U19" i="6"/>
  <c r="U20" i="6"/>
  <c r="U21" i="6"/>
  <c r="U9" i="6"/>
  <c r="Q10" i="6"/>
  <c r="Q11" i="6"/>
  <c r="Q12" i="6"/>
  <c r="Q13" i="6"/>
  <c r="Q14" i="6"/>
  <c r="Q15" i="6"/>
  <c r="Q16" i="6"/>
  <c r="Q17" i="6"/>
  <c r="Q18" i="6"/>
  <c r="Q19" i="6"/>
  <c r="Q20" i="6"/>
  <c r="Q21" i="6"/>
  <c r="P10" i="6"/>
  <c r="AA10" i="6" s="1"/>
  <c r="P11" i="6"/>
  <c r="AA11" i="6" s="1"/>
  <c r="P12" i="6"/>
  <c r="AA12" i="6" s="1"/>
  <c r="P13" i="6"/>
  <c r="AA13" i="6" s="1"/>
  <c r="P14" i="6"/>
  <c r="AA14" i="6" s="1"/>
  <c r="P15" i="6"/>
  <c r="AA15" i="6" s="1"/>
  <c r="P16" i="6"/>
  <c r="AA16" i="6" s="1"/>
  <c r="P17" i="6"/>
  <c r="AA17" i="6" s="1"/>
  <c r="P18" i="6"/>
  <c r="AA18" i="6" s="1"/>
  <c r="P19" i="6"/>
  <c r="AA19" i="6" s="1"/>
  <c r="P20" i="6"/>
  <c r="AA20" i="6" s="1"/>
  <c r="P21" i="6"/>
  <c r="AA21" i="6" s="1"/>
  <c r="P9" i="6"/>
  <c r="AA9" i="6" s="1"/>
  <c r="L12" i="6"/>
  <c r="L13" i="6"/>
  <c r="L14" i="6"/>
  <c r="L15" i="6"/>
  <c r="L16" i="6"/>
  <c r="L17" i="6"/>
  <c r="L18" i="6"/>
  <c r="L19" i="6"/>
  <c r="L20" i="6"/>
  <c r="L21" i="6"/>
  <c r="K11" i="6"/>
  <c r="M11" i="6" s="1"/>
  <c r="K12" i="6"/>
  <c r="M12" i="6" s="1"/>
  <c r="K13" i="6"/>
  <c r="M13" i="6" s="1"/>
  <c r="K14" i="6"/>
  <c r="M14" i="6" s="1"/>
  <c r="K15" i="6"/>
  <c r="M15" i="6" s="1"/>
  <c r="K16" i="6"/>
  <c r="M16" i="6" s="1"/>
  <c r="K17" i="6"/>
  <c r="M17" i="6" s="1"/>
  <c r="K18" i="6"/>
  <c r="M18" i="6" s="1"/>
  <c r="K19" i="6"/>
  <c r="M19" i="6" s="1"/>
  <c r="K20" i="6"/>
  <c r="M20" i="6" s="1"/>
  <c r="K21" i="6"/>
  <c r="L37" i="7"/>
  <c r="K37" i="7"/>
  <c r="L36" i="7"/>
  <c r="K36" i="7"/>
  <c r="L35" i="7"/>
  <c r="K35" i="7"/>
  <c r="L34" i="7"/>
  <c r="K34" i="7"/>
  <c r="L33" i="7"/>
  <c r="K33" i="7"/>
  <c r="L32" i="7"/>
  <c r="K32" i="7"/>
  <c r="L31" i="7"/>
  <c r="K31" i="7"/>
  <c r="L30" i="7"/>
  <c r="K30" i="7"/>
  <c r="L29" i="7"/>
  <c r="K29" i="7"/>
  <c r="L28" i="7"/>
  <c r="K28" i="7"/>
  <c r="L27" i="7"/>
  <c r="K27" i="7"/>
  <c r="L26" i="7"/>
  <c r="K26" i="7"/>
  <c r="L25" i="7"/>
  <c r="K25" i="7"/>
  <c r="O19" i="7"/>
  <c r="K19" i="7"/>
  <c r="O18" i="7"/>
  <c r="K18" i="7"/>
  <c r="O17" i="7"/>
  <c r="K17" i="7"/>
  <c r="O16" i="7"/>
  <c r="K16" i="7"/>
  <c r="O15" i="7"/>
  <c r="K15" i="7"/>
  <c r="O14" i="7"/>
  <c r="K14" i="7"/>
  <c r="O13" i="7"/>
  <c r="K13" i="7"/>
  <c r="O12" i="7"/>
  <c r="K12" i="7"/>
  <c r="O11" i="7"/>
  <c r="K11" i="7"/>
  <c r="O10" i="7"/>
  <c r="K10" i="7"/>
  <c r="O9" i="7"/>
  <c r="K9" i="7"/>
  <c r="O8" i="7"/>
  <c r="K8" i="7"/>
  <c r="T7" i="7"/>
  <c r="S7" i="7"/>
  <c r="O7" i="7"/>
  <c r="K7" i="7"/>
  <c r="F66" i="4"/>
  <c r="L26" i="4"/>
  <c r="L27" i="4"/>
  <c r="L28" i="4"/>
  <c r="L29" i="4"/>
  <c r="L30" i="4"/>
  <c r="L31" i="4"/>
  <c r="L32" i="4"/>
  <c r="L33" i="4"/>
  <c r="L34" i="4"/>
  <c r="L35" i="4"/>
  <c r="L36" i="4"/>
  <c r="L37" i="4"/>
  <c r="L25" i="4"/>
  <c r="K26" i="4"/>
  <c r="K27" i="4"/>
  <c r="K28" i="4"/>
  <c r="K29" i="4"/>
  <c r="K30" i="4"/>
  <c r="K31" i="4"/>
  <c r="K32" i="4"/>
  <c r="K33" i="4"/>
  <c r="K34" i="4"/>
  <c r="K35" i="4"/>
  <c r="K36" i="4"/>
  <c r="K37" i="4"/>
  <c r="K25" i="4"/>
  <c r="T7" i="4"/>
  <c r="S7" i="4"/>
  <c r="O17" i="4"/>
  <c r="O18" i="4"/>
  <c r="P18" i="4" s="1"/>
  <c r="T18" i="4" s="1"/>
  <c r="O19" i="4"/>
  <c r="O8" i="4"/>
  <c r="O9" i="4"/>
  <c r="P9" i="4" s="1"/>
  <c r="T9" i="4" s="1"/>
  <c r="O10" i="4"/>
  <c r="P10" i="4" s="1"/>
  <c r="T10" i="4" s="1"/>
  <c r="O11" i="4"/>
  <c r="P11" i="4" s="1"/>
  <c r="T11" i="4" s="1"/>
  <c r="O12" i="4"/>
  <c r="P12" i="4" s="1"/>
  <c r="T12" i="4" s="1"/>
  <c r="O13" i="4"/>
  <c r="P13" i="4" s="1"/>
  <c r="T13" i="4" s="1"/>
  <c r="O14" i="4"/>
  <c r="P14" i="4" s="1"/>
  <c r="T14" i="4" s="1"/>
  <c r="O15" i="4"/>
  <c r="P15" i="4" s="1"/>
  <c r="T15" i="4" s="1"/>
  <c r="O16" i="4"/>
  <c r="P16" i="4" s="1"/>
  <c r="T16" i="4" s="1"/>
  <c r="O7" i="4"/>
  <c r="K7" i="4"/>
  <c r="K9" i="4"/>
  <c r="K19" i="4"/>
  <c r="K8" i="4"/>
  <c r="L8" i="4" s="1"/>
  <c r="S8" i="4" s="1"/>
  <c r="K11" i="4"/>
  <c r="K10" i="4"/>
  <c r="L10" i="4" s="1"/>
  <c r="S10" i="4" s="1"/>
  <c r="K12" i="4"/>
  <c r="K13" i="4"/>
  <c r="L13" i="4" s="1"/>
  <c r="S13" i="4" s="1"/>
  <c r="K14" i="4"/>
  <c r="L14" i="4" s="1"/>
  <c r="S14" i="4" s="1"/>
  <c r="K15" i="4"/>
  <c r="L15" i="4" s="1"/>
  <c r="S15" i="4" s="1"/>
  <c r="K16" i="4"/>
  <c r="L16" i="4" s="1"/>
  <c r="S16" i="4" s="1"/>
  <c r="K17" i="4"/>
  <c r="L17" i="4" s="1"/>
  <c r="S17" i="4" s="1"/>
  <c r="K18" i="4"/>
  <c r="L18" i="4" s="1"/>
  <c r="S18" i="4" s="1"/>
  <c r="W9" i="8" l="1"/>
  <c r="W10" i="8"/>
  <c r="W11" i="8"/>
  <c r="W12" i="8"/>
  <c r="W13" i="8"/>
  <c r="W14" i="8"/>
  <c r="W15" i="8"/>
  <c r="W16" i="8"/>
  <c r="W17" i="8"/>
  <c r="W18" i="8"/>
  <c r="W19" i="8"/>
  <c r="W20" i="8"/>
  <c r="W21" i="8"/>
  <c r="W23" i="8" s="1"/>
  <c r="M21" i="6"/>
  <c r="AA23" i="6"/>
  <c r="AB9" i="6"/>
  <c r="E44" i="6"/>
  <c r="M24" i="6"/>
  <c r="AC21" i="6"/>
  <c r="AC20" i="6"/>
  <c r="AC19" i="6"/>
  <c r="AC18" i="6"/>
  <c r="AC17" i="6"/>
  <c r="AC16" i="6"/>
  <c r="AC15" i="6"/>
  <c r="AC14" i="6"/>
  <c r="AC13" i="6"/>
  <c r="AC12" i="6"/>
  <c r="AC11" i="6"/>
  <c r="AC10" i="6"/>
  <c r="W21" i="6"/>
  <c r="W23" i="6" s="1"/>
  <c r="W20" i="6"/>
  <c r="W19" i="6"/>
  <c r="W18" i="6"/>
  <c r="W17" i="6"/>
  <c r="W16" i="6"/>
  <c r="W15" i="6"/>
  <c r="W14" i="6"/>
  <c r="W13" i="6"/>
  <c r="W12" i="6"/>
  <c r="W11" i="6"/>
  <c r="W10" i="6"/>
  <c r="R21" i="6"/>
  <c r="R24" i="6" s="1"/>
  <c r="R20" i="6"/>
  <c r="R19" i="6"/>
  <c r="R18" i="6"/>
  <c r="R17" i="6"/>
  <c r="R16" i="6"/>
  <c r="R15" i="6"/>
  <c r="R14" i="6"/>
  <c r="R13" i="6"/>
  <c r="R12" i="6"/>
  <c r="R11" i="6"/>
  <c r="R10" i="6"/>
  <c r="S8" i="7"/>
  <c r="P8" i="7"/>
  <c r="T8" i="7" s="1"/>
  <c r="L9" i="7"/>
  <c r="S9" i="7" s="1"/>
  <c r="P9" i="7"/>
  <c r="T9" i="7" s="1"/>
  <c r="L10" i="7"/>
  <c r="S10" i="7" s="1"/>
  <c r="P10" i="7"/>
  <c r="T10" i="7" s="1"/>
  <c r="L11" i="7"/>
  <c r="S11" i="7" s="1"/>
  <c r="P11" i="7"/>
  <c r="T11" i="7" s="1"/>
  <c r="L12" i="7"/>
  <c r="S12" i="7" s="1"/>
  <c r="F66" i="7"/>
  <c r="P12" i="7"/>
  <c r="T12" i="7" s="1"/>
  <c r="L13" i="7"/>
  <c r="S13" i="7" s="1"/>
  <c r="P13" i="7"/>
  <c r="T13" i="7" s="1"/>
  <c r="L14" i="7"/>
  <c r="S14" i="7" s="1"/>
  <c r="P14" i="7"/>
  <c r="T14" i="7" s="1"/>
  <c r="L15" i="7"/>
  <c r="S15" i="7" s="1"/>
  <c r="P15" i="7"/>
  <c r="T15" i="7" s="1"/>
  <c r="L16" i="7"/>
  <c r="S16" i="7" s="1"/>
  <c r="P16" i="7"/>
  <c r="T16" i="7" s="1"/>
  <c r="L17" i="7"/>
  <c r="S17" i="7" s="1"/>
  <c r="P17" i="7"/>
  <c r="T17" i="7" s="1"/>
  <c r="L18" i="7"/>
  <c r="S18" i="7" s="1"/>
  <c r="P18" i="7"/>
  <c r="T18" i="7" s="1"/>
  <c r="L19" i="7"/>
  <c r="S19" i="7" s="1"/>
  <c r="P21" i="7"/>
  <c r="P19" i="7"/>
  <c r="T19" i="7" s="1"/>
  <c r="B67" i="4"/>
  <c r="L12" i="4"/>
  <c r="S12" i="4" s="1"/>
  <c r="L11" i="4"/>
  <c r="S11" i="4" s="1"/>
  <c r="L21" i="4"/>
  <c r="L19" i="4"/>
  <c r="S19" i="4" s="1"/>
  <c r="L9" i="4"/>
  <c r="S9" i="4" s="1"/>
  <c r="P8" i="4"/>
  <c r="T8" i="4" s="1"/>
  <c r="P21" i="4"/>
  <c r="P19" i="4"/>
  <c r="T19" i="4" s="1"/>
  <c r="P17" i="4"/>
  <c r="T17" i="4" s="1"/>
  <c r="AA44" i="6" l="1"/>
  <c r="AC23" i="6"/>
  <c r="J44" i="6"/>
  <c r="T43" i="6"/>
</calcChain>
</file>

<file path=xl/sharedStrings.xml><?xml version="1.0" encoding="utf-8"?>
<sst xmlns="http://schemas.openxmlformats.org/spreadsheetml/2006/main" count="141" uniqueCount="62">
  <si>
    <t>Dado</t>
  </si>
  <si>
    <t>Descrição</t>
  </si>
  <si>
    <t>Mercado de Abertura de Empresa</t>
  </si>
  <si>
    <t>Pessoas que Abriram uma Empresa durante o intervalo de datas.</t>
  </si>
  <si>
    <t>Usuário</t>
  </si>
  <si>
    <t>Pessoas que acessaram o site pelo menos uma vez durante o intervalo de datas.</t>
  </si>
  <si>
    <t>Novos Usuário</t>
  </si>
  <si>
    <t>Pessoas que acessaram o site pela primeira vez durante o intervalo de datas.</t>
  </si>
  <si>
    <t>Lead</t>
  </si>
  <si>
    <t>Pessoas que no site falaram que gostariam de abrir empresa com Contabilizei</t>
  </si>
  <si>
    <t>Vendas</t>
  </si>
  <si>
    <t>Pessoas que abriram empresa com a Contabilizei</t>
  </si>
  <si>
    <t>Investimento</t>
  </si>
  <si>
    <t>Valor total investido em MKT</t>
  </si>
  <si>
    <t>Market Share</t>
  </si>
  <si>
    <t>Participação de Mercado - O % de empresas abertas pela Contabilizei vs o tamanho do Mercado</t>
  </si>
  <si>
    <t>Mês</t>
  </si>
  <si>
    <t>Usuários</t>
  </si>
  <si>
    <t>Novos usuários</t>
  </si>
  <si>
    <t>Leads</t>
  </si>
  <si>
    <t>contabilizei</t>
  </si>
  <si>
    <t>mercado</t>
  </si>
  <si>
    <t>contabilizei &amp; mercado</t>
  </si>
  <si>
    <t>meses</t>
  </si>
  <si>
    <t>vendas contabilizei</t>
  </si>
  <si>
    <t>variação contabilizei%</t>
  </si>
  <si>
    <t>empresas abertas</t>
  </si>
  <si>
    <t>variação mercado%</t>
  </si>
  <si>
    <t>N/A</t>
  </si>
  <si>
    <t>variação total</t>
  </si>
  <si>
    <t>mercado total</t>
  </si>
  <si>
    <t>market share</t>
  </si>
  <si>
    <t>pergunta 1</t>
  </si>
  <si>
    <t>1 semestre periodo analizado</t>
  </si>
  <si>
    <t>variancia semestre mercado</t>
  </si>
  <si>
    <t>variancia semestre contabilizei</t>
  </si>
  <si>
    <t>1) Qual a variação que ocorreu com o mercado e com a Contabilizei no periodo ? Como eles se relacionam ?</t>
  </si>
  <si>
    <t>2) Analisando somente os dados da Contabilizei quais indicadores básicos você acha importante analisar ?</t>
  </si>
  <si>
    <t>3) Baseado nesses dados quais são possiveis ineficiências do processo ?</t>
  </si>
  <si>
    <t>4) Avaliando todos os dados Mercado e Contabilizei, onde você focaria esforços para melhorar os resultados ?</t>
  </si>
  <si>
    <t>5) Considerando que o mercado de abertura de empresa não tem variações grandes de comportamento anualmente, qual seria o investimento necessário no cenário atual para atingir 6% de Market Share ? Explique o Racional da conta</t>
  </si>
  <si>
    <t xml:space="preserve">pergunta 2 </t>
  </si>
  <si>
    <t>indicadores importantes</t>
  </si>
  <si>
    <t>funil de vendas</t>
  </si>
  <si>
    <t>CAC (Custo de Aquisição de Cliente)</t>
  </si>
  <si>
    <t>Eficiência de Marketing</t>
  </si>
  <si>
    <t>mes</t>
  </si>
  <si>
    <t>lead</t>
  </si>
  <si>
    <t>usarios</t>
  </si>
  <si>
    <t>usuario para lead%</t>
  </si>
  <si>
    <t>vendas</t>
  </si>
  <si>
    <t>lead para venda%</t>
  </si>
  <si>
    <t>investimento</t>
  </si>
  <si>
    <t>valor investido P/ venda</t>
  </si>
  <si>
    <t>valor investido P/ lead</t>
  </si>
  <si>
    <t>Mercado total</t>
  </si>
  <si>
    <t>market share atual</t>
  </si>
  <si>
    <t>conversão de usarios do site para leads</t>
  </si>
  <si>
    <t>conversão de lead para vendas</t>
  </si>
  <si>
    <t>variação de leads total</t>
  </si>
  <si>
    <t>variação valor investido total</t>
  </si>
  <si>
    <t>Contabilizei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</si>
</sst>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"/>
    <numFmt numFmtId="165" formatCode="0.000"/>
  </numFmts>
  <fonts count="11">
    <font>
      <sz val="12"/>
      <name val="Calibri"/>
      <family val="1"/>
      <scheme val="minor"/>
    </font>
    <font>
      <sz val="12"/>
      <name val="Calibri"/>
      <family val="1"/>
      <scheme val="minor"/>
    </font>
    <font>
      <b/>
      <sz val="12"/>
      <name val="Calibri"/>
      <family val="2"/>
      <scheme val="minor"/>
    </font>
    <font>
      <sz val="12"/>
      <color theme="0"/>
      <name val="Calibri"/>
      <family val="1"/>
      <scheme val="minor"/>
    </font>
    <font>
      <sz val="16"/>
      <color theme="0"/>
      <name val="Calibri"/>
      <family val="1"/>
      <scheme val="minor"/>
    </font>
    <font>
      <sz val="20"/>
      <color theme="0"/>
      <name val="Calibri"/>
      <family val="1"/>
      <scheme val="minor"/>
    </font>
    <font>
      <sz val="24"/>
      <color theme="0"/>
      <name val="Calibri"/>
      <family val="1"/>
      <scheme val="minor"/>
    </font>
    <font>
      <sz val="26"/>
      <color theme="0"/>
      <name val="Calibri"/>
      <family val="1"/>
      <scheme val="minor"/>
    </font>
    <font>
      <sz val="12"/>
      <color rgb="FF000000"/>
      <name val="Calibri"/>
      <charset val="1"/>
    </font>
    <font>
      <sz val="28"/>
      <color theme="0"/>
      <name val="Calibri"/>
      <family val="1"/>
      <scheme val="minor"/>
    </font>
    <font>
      <sz val="12"/>
      <color theme="1"/>
      <name val="Calibri"/>
      <family val="1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8">
    <xf numFmtId="0" fontId="0" fillId="0" borderId="0" xfId="0"/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0" fillId="0" borderId="0" xfId="1" applyNumberFormat="1" applyFont="1" applyAlignment="1">
      <alignment horizontal="center"/>
    </xf>
    <xf numFmtId="44" fontId="0" fillId="0" borderId="0" xfId="2" applyFont="1" applyAlignment="1">
      <alignment horizontal="center"/>
    </xf>
    <xf numFmtId="0" fontId="2" fillId="0" borderId="0" xfId="0" applyFont="1"/>
    <xf numFmtId="44" fontId="0" fillId="0" borderId="0" xfId="0" applyNumberFormat="1"/>
    <xf numFmtId="17" fontId="0" fillId="0" borderId="0" xfId="0" applyNumberFormat="1"/>
    <xf numFmtId="3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2" fontId="0" fillId="0" borderId="0" xfId="0" applyNumberFormat="1"/>
    <xf numFmtId="0" fontId="3" fillId="3" borderId="1" xfId="0" applyFont="1" applyFill="1" applyBorder="1"/>
    <xf numFmtId="2" fontId="0" fillId="0" borderId="1" xfId="0" applyNumberFormat="1" applyBorder="1"/>
    <xf numFmtId="0" fontId="3" fillId="4" borderId="1" xfId="0" applyFont="1" applyFill="1" applyBorder="1"/>
    <xf numFmtId="0" fontId="8" fillId="0" borderId="0" xfId="0" applyFont="1"/>
    <xf numFmtId="164" fontId="0" fillId="0" borderId="0" xfId="0" applyNumberFormat="1"/>
    <xf numFmtId="17" fontId="0" fillId="0" borderId="4" xfId="0" applyNumberFormat="1" applyBorder="1"/>
    <xf numFmtId="2" fontId="0" fillId="0" borderId="5" xfId="0" applyNumberFormat="1" applyBorder="1"/>
    <xf numFmtId="17" fontId="0" fillId="0" borderId="6" xfId="0" applyNumberFormat="1" applyBorder="1"/>
    <xf numFmtId="3" fontId="0" fillId="0" borderId="3" xfId="0" applyNumberFormat="1" applyBorder="1"/>
    <xf numFmtId="2" fontId="0" fillId="0" borderId="7" xfId="0" applyNumberFormat="1" applyBorder="1"/>
    <xf numFmtId="0" fontId="3" fillId="7" borderId="0" xfId="0" applyFont="1" applyFill="1"/>
    <xf numFmtId="17" fontId="10" fillId="8" borderId="8" xfId="0" applyNumberFormat="1" applyFont="1" applyFill="1" applyBorder="1" applyAlignment="1">
      <alignment horizontal="center"/>
    </xf>
    <xf numFmtId="17" fontId="10" fillId="9" borderId="8" xfId="0" applyNumberFormat="1" applyFont="1" applyFill="1" applyBorder="1" applyAlignment="1">
      <alignment horizontal="center"/>
    </xf>
    <xf numFmtId="17" fontId="10" fillId="8" borderId="9" xfId="0" applyNumberFormat="1" applyFont="1" applyFill="1" applyBorder="1" applyAlignment="1">
      <alignment horizontal="center"/>
    </xf>
    <xf numFmtId="165" fontId="0" fillId="0" borderId="0" xfId="0" applyNumberFormat="1"/>
    <xf numFmtId="0" fontId="7" fillId="3" borderId="0" xfId="0" applyFont="1" applyFill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6" fillId="6" borderId="0" xfId="0" applyFont="1" applyFill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9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</cellXfs>
  <cellStyles count="3">
    <cellStyle name="Moeda" xfId="2" builtinId="4"/>
    <cellStyle name="Normal" xfId="0" builtinId="0"/>
    <cellStyle name="Vírgula" xfId="1" builtinId="3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1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1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1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1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1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1"/>
        <scheme val="minor"/>
      </font>
      <numFmt numFmtId="3" formatCode="#,##0"/>
      <alignment horizontal="center" vertical="bottom" textRotation="0" wrapText="0" indent="0" justifyLastLine="0" shrinkToFit="0" readingOrder="0"/>
    </dxf>
    <dxf>
      <numFmt numFmtId="22" formatCode="mmm/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1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1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1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1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1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1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1"/>
        <scheme val="minor"/>
      </font>
      <numFmt numFmtId="3" formatCode="#,##0"/>
      <alignment horizontal="center" vertical="bottom" textRotation="0" wrapText="0" indent="0" justifyLastLine="0" shrinkToFit="0" readingOrder="0"/>
    </dxf>
    <dxf>
      <numFmt numFmtId="22" formatCode="mmm/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1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1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1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1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1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1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1"/>
        <scheme val="minor"/>
      </font>
      <numFmt numFmtId="3" formatCode="#,##0"/>
      <alignment horizontal="center" vertical="bottom" textRotation="0" wrapText="0" indent="0" justifyLastLine="0" shrinkToFit="0" readingOrder="0"/>
    </dxf>
    <dxf>
      <numFmt numFmtId="22" formatCode="mmm/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1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1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1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1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1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1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1"/>
        <scheme val="minor"/>
      </font>
      <numFmt numFmtId="3" formatCode="#,##0"/>
      <alignment horizontal="center" vertical="bottom" textRotation="0" wrapText="0" indent="0" justifyLastLine="0" shrinkToFit="0" readingOrder="0"/>
    </dxf>
    <dxf>
      <numFmt numFmtId="22" formatCode="mmm/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1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variação contabilizei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Dados!$L$6</c:f>
              <c:strCache>
                <c:ptCount val="1"/>
                <c:pt idx="0">
                  <c:v>variação contabilizei%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5.7972222222222224E-2"/>
                  <c:y val="-0.1064468503937007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5C-401D-8E5D-187645B5779C}"/>
                </c:ext>
              </c:extLst>
            </c:dLbl>
            <c:dLbl>
              <c:idx val="7"/>
              <c:layout>
                <c:manualLayout>
                  <c:x val="-5.788888888888899E-2"/>
                  <c:y val="-0.109919072615923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CB6-4064-81C4-ABAAF7BFDBE8}"/>
                </c:ext>
              </c:extLst>
            </c:dLbl>
            <c:dLbl>
              <c:idx val="9"/>
              <c:layout>
                <c:manualLayout>
                  <c:x val="-4.5388888888888888E-2"/>
                  <c:y val="-0.1272801837270340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65C-401D-8E5D-187645B5779C}"/>
                </c:ext>
              </c:extLst>
            </c:dLbl>
            <c:dLbl>
              <c:idx val="11"/>
              <c:layout>
                <c:manualLayout>
                  <c:x val="-3.0179571303587154E-2"/>
                  <c:y val="-0.1064468503937008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5C-401D-8E5D-187645B577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Dados!$J$8:$J$19</c:f>
              <c:numCache>
                <c:formatCode>mmm\-yy</c:formatCode>
                <c:ptCount val="12"/>
                <c:pt idx="0">
                  <c:v>44317</c:v>
                </c:pt>
                <c:pt idx="1">
                  <c:v>44348</c:v>
                </c:pt>
                <c:pt idx="2">
                  <c:v>44378</c:v>
                </c:pt>
                <c:pt idx="3">
                  <c:v>44409</c:v>
                </c:pt>
                <c:pt idx="4">
                  <c:v>44440</c:v>
                </c:pt>
                <c:pt idx="5">
                  <c:v>44470</c:v>
                </c:pt>
                <c:pt idx="6">
                  <c:v>44501</c:v>
                </c:pt>
                <c:pt idx="7">
                  <c:v>44531</c:v>
                </c:pt>
                <c:pt idx="8">
                  <c:v>44562</c:v>
                </c:pt>
                <c:pt idx="9">
                  <c:v>44593</c:v>
                </c:pt>
                <c:pt idx="10">
                  <c:v>44621</c:v>
                </c:pt>
                <c:pt idx="11">
                  <c:v>44652</c:v>
                </c:pt>
              </c:numCache>
            </c:numRef>
          </c:cat>
          <c:val>
            <c:numRef>
              <c:f>Dados!$L$8:$L$19</c:f>
              <c:numCache>
                <c:formatCode>0.00</c:formatCode>
                <c:ptCount val="12"/>
                <c:pt idx="0">
                  <c:v>6.2100456621004563</c:v>
                </c:pt>
                <c:pt idx="1">
                  <c:v>-0.68787618228718828</c:v>
                </c:pt>
                <c:pt idx="2">
                  <c:v>2.7705627705627704</c:v>
                </c:pt>
                <c:pt idx="3">
                  <c:v>4.8020219039595622</c:v>
                </c:pt>
                <c:pt idx="4">
                  <c:v>-7.3151125401929269</c:v>
                </c:pt>
                <c:pt idx="5">
                  <c:v>-10.797918473547268</c:v>
                </c:pt>
                <c:pt idx="6">
                  <c:v>-1.3125911521633447</c:v>
                </c:pt>
                <c:pt idx="7">
                  <c:v>-6.1083743842364537</c:v>
                </c:pt>
                <c:pt idx="8">
                  <c:v>45.27806925498426</c:v>
                </c:pt>
                <c:pt idx="9">
                  <c:v>-7.042253521126761</c:v>
                </c:pt>
                <c:pt idx="10">
                  <c:v>13.986013986013987</c:v>
                </c:pt>
                <c:pt idx="11">
                  <c:v>-8.4526244035446485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B6-4064-81C4-ABAAF7BFDBE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6922247"/>
        <c:axId val="156849671"/>
      </c:lineChart>
      <c:dateAx>
        <c:axId val="126922247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49671"/>
        <c:crosses val="autoZero"/>
        <c:auto val="1"/>
        <c:lblOffset val="100"/>
        <c:baseTimeUnit val="months"/>
      </c:dateAx>
      <c:valAx>
        <c:axId val="156849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22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variação mercado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Dados!$P$6</c:f>
              <c:strCache>
                <c:ptCount val="1"/>
                <c:pt idx="0">
                  <c:v>variação mercado%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Dados!$N$8:$N$19</c:f>
              <c:numCache>
                <c:formatCode>mmm\-yy</c:formatCode>
                <c:ptCount val="12"/>
                <c:pt idx="0">
                  <c:v>44317</c:v>
                </c:pt>
                <c:pt idx="1">
                  <c:v>44348</c:v>
                </c:pt>
                <c:pt idx="2">
                  <c:v>44378</c:v>
                </c:pt>
                <c:pt idx="3">
                  <c:v>44409</c:v>
                </c:pt>
                <c:pt idx="4">
                  <c:v>44440</c:v>
                </c:pt>
                <c:pt idx="5">
                  <c:v>44470</c:v>
                </c:pt>
                <c:pt idx="6">
                  <c:v>44501</c:v>
                </c:pt>
                <c:pt idx="7">
                  <c:v>44531</c:v>
                </c:pt>
                <c:pt idx="8">
                  <c:v>44562</c:v>
                </c:pt>
                <c:pt idx="9">
                  <c:v>44593</c:v>
                </c:pt>
                <c:pt idx="10">
                  <c:v>44621</c:v>
                </c:pt>
                <c:pt idx="11">
                  <c:v>44652</c:v>
                </c:pt>
              </c:numCache>
            </c:numRef>
          </c:cat>
          <c:val>
            <c:numRef>
              <c:f>Dados!$P$8:$P$19</c:f>
              <c:numCache>
                <c:formatCode>0.00</c:formatCode>
                <c:ptCount val="12"/>
                <c:pt idx="0">
                  <c:v>14.392678868552414</c:v>
                </c:pt>
                <c:pt idx="1">
                  <c:v>-6.3504132231404959</c:v>
                </c:pt>
                <c:pt idx="2">
                  <c:v>-0.29651593773165308</c:v>
                </c:pt>
                <c:pt idx="3">
                  <c:v>6.3586475482386255</c:v>
                </c:pt>
                <c:pt idx="4">
                  <c:v>-13.31846476482141</c:v>
                </c:pt>
                <c:pt idx="5">
                  <c:v>8.75</c:v>
                </c:pt>
                <c:pt idx="6">
                  <c:v>-9.3066370040786062</c:v>
                </c:pt>
                <c:pt idx="7">
                  <c:v>-37.043959039053071</c:v>
                </c:pt>
                <c:pt idx="8">
                  <c:v>69.893005133279729</c:v>
                </c:pt>
                <c:pt idx="9">
                  <c:v>-9.7724790680742633</c:v>
                </c:pt>
                <c:pt idx="10">
                  <c:v>17.076516511670128</c:v>
                </c:pt>
                <c:pt idx="11">
                  <c:v>-16.255427665586879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E8-4464-B2F2-4470CDA8118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21732103"/>
        <c:axId val="321784327"/>
      </c:lineChart>
      <c:dateAx>
        <c:axId val="32173210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784327"/>
        <c:crosses val="autoZero"/>
        <c:auto val="1"/>
        <c:lblOffset val="100"/>
        <c:baseTimeUnit val="months"/>
      </c:dateAx>
      <c:valAx>
        <c:axId val="321784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732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Dados!J7:J19</c:f>
              <c:numCache>
                <c:formatCode>mmm\-yy</c:formatCode>
                <c:ptCount val="13"/>
                <c:pt idx="0">
                  <c:v>44287</c:v>
                </c:pt>
                <c:pt idx="1">
                  <c:v>44317</c:v>
                </c:pt>
                <c:pt idx="2">
                  <c:v>44348</c:v>
                </c:pt>
                <c:pt idx="3">
                  <c:v>44378</c:v>
                </c:pt>
                <c:pt idx="4">
                  <c:v>44409</c:v>
                </c:pt>
                <c:pt idx="5">
                  <c:v>44440</c:v>
                </c:pt>
                <c:pt idx="6">
                  <c:v>44470</c:v>
                </c:pt>
                <c:pt idx="7">
                  <c:v>44501</c:v>
                </c:pt>
                <c:pt idx="8">
                  <c:v>44531</c:v>
                </c:pt>
                <c:pt idx="9">
                  <c:v>44562</c:v>
                </c:pt>
                <c:pt idx="10">
                  <c:v>44593</c:v>
                </c:pt>
                <c:pt idx="11">
                  <c:v>44621</c:v>
                </c:pt>
                <c:pt idx="12">
                  <c:v>44652</c:v>
                </c:pt>
              </c:numCache>
            </c:numRef>
          </c:cat>
          <c:val>
            <c:numRef>
              <c:f>Dados!$L$8:$L$19</c:f>
              <c:numCache>
                <c:formatCode>0.00</c:formatCode>
                <c:ptCount val="12"/>
                <c:pt idx="0">
                  <c:v>6.2100456621004563</c:v>
                </c:pt>
                <c:pt idx="1">
                  <c:v>-0.68787618228718828</c:v>
                </c:pt>
                <c:pt idx="2">
                  <c:v>2.7705627705627704</c:v>
                </c:pt>
                <c:pt idx="3">
                  <c:v>4.8020219039595622</c:v>
                </c:pt>
                <c:pt idx="4">
                  <c:v>-7.3151125401929269</c:v>
                </c:pt>
                <c:pt idx="5">
                  <c:v>-10.797918473547268</c:v>
                </c:pt>
                <c:pt idx="6">
                  <c:v>-1.3125911521633447</c:v>
                </c:pt>
                <c:pt idx="7">
                  <c:v>-6.1083743842364537</c:v>
                </c:pt>
                <c:pt idx="8">
                  <c:v>45.27806925498426</c:v>
                </c:pt>
                <c:pt idx="9">
                  <c:v>-7.042253521126761</c:v>
                </c:pt>
                <c:pt idx="10">
                  <c:v>13.986013986013987</c:v>
                </c:pt>
                <c:pt idx="11">
                  <c:v>-8.4526244035446485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D5-482C-8D69-E7252B75E470}"/>
            </c:ext>
          </c:extLst>
        </c:ser>
        <c:ser>
          <c:idx val="1"/>
          <c:order val="1"/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Dados!J7:J19</c:f>
              <c:numCache>
                <c:formatCode>mmm\-yy</c:formatCode>
                <c:ptCount val="13"/>
                <c:pt idx="0">
                  <c:v>44287</c:v>
                </c:pt>
                <c:pt idx="1">
                  <c:v>44317</c:v>
                </c:pt>
                <c:pt idx="2">
                  <c:v>44348</c:v>
                </c:pt>
                <c:pt idx="3">
                  <c:v>44378</c:v>
                </c:pt>
                <c:pt idx="4">
                  <c:v>44409</c:v>
                </c:pt>
                <c:pt idx="5">
                  <c:v>44440</c:v>
                </c:pt>
                <c:pt idx="6">
                  <c:v>44470</c:v>
                </c:pt>
                <c:pt idx="7">
                  <c:v>44501</c:v>
                </c:pt>
                <c:pt idx="8">
                  <c:v>44531</c:v>
                </c:pt>
                <c:pt idx="9">
                  <c:v>44562</c:v>
                </c:pt>
                <c:pt idx="10">
                  <c:v>44593</c:v>
                </c:pt>
                <c:pt idx="11">
                  <c:v>44621</c:v>
                </c:pt>
                <c:pt idx="12">
                  <c:v>44652</c:v>
                </c:pt>
              </c:numCache>
            </c:numRef>
          </c:cat>
          <c:val>
            <c:numRef>
              <c:f>Dados!$P$8:$P$19</c:f>
              <c:numCache>
                <c:formatCode>0.00</c:formatCode>
                <c:ptCount val="12"/>
                <c:pt idx="0">
                  <c:v>14.392678868552414</c:v>
                </c:pt>
                <c:pt idx="1">
                  <c:v>-6.3504132231404959</c:v>
                </c:pt>
                <c:pt idx="2">
                  <c:v>-0.29651593773165308</c:v>
                </c:pt>
                <c:pt idx="3">
                  <c:v>6.3586475482386255</c:v>
                </c:pt>
                <c:pt idx="4">
                  <c:v>-13.31846476482141</c:v>
                </c:pt>
                <c:pt idx="5">
                  <c:v>8.75</c:v>
                </c:pt>
                <c:pt idx="6">
                  <c:v>-9.3066370040786062</c:v>
                </c:pt>
                <c:pt idx="7">
                  <c:v>-37.043959039053071</c:v>
                </c:pt>
                <c:pt idx="8">
                  <c:v>69.893005133279729</c:v>
                </c:pt>
                <c:pt idx="9">
                  <c:v>-9.7724790680742633</c:v>
                </c:pt>
                <c:pt idx="10">
                  <c:v>17.076516511670128</c:v>
                </c:pt>
                <c:pt idx="11">
                  <c:v>-16.255427665586879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FD5-482C-8D69-E7252B75E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19463"/>
        <c:axId val="84018183"/>
      </c:lineChart>
      <c:dateAx>
        <c:axId val="44819463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18183"/>
        <c:crosses val="autoZero"/>
        <c:auto val="1"/>
        <c:lblOffset val="100"/>
        <c:baseTimeUnit val="months"/>
      </c:dateAx>
      <c:valAx>
        <c:axId val="84018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19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variação contabilizei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'pergunta 1'!$L$6</c:f>
              <c:strCache>
                <c:ptCount val="1"/>
                <c:pt idx="0">
                  <c:v>variação contabilizei%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5.7972222222222224E-2"/>
                  <c:y val="-0.1064468503937007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4FA-41C8-835B-AAE6E0610DCB}"/>
                </c:ext>
              </c:extLst>
            </c:dLbl>
            <c:dLbl>
              <c:idx val="7"/>
              <c:layout>
                <c:manualLayout>
                  <c:x val="-5.788888888888899E-2"/>
                  <c:y val="-0.109919072615923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FA-41C8-835B-AAE6E0610DCB}"/>
                </c:ext>
              </c:extLst>
            </c:dLbl>
            <c:dLbl>
              <c:idx val="9"/>
              <c:layout>
                <c:manualLayout>
                  <c:x val="-4.5388888888888888E-2"/>
                  <c:y val="-0.1272801837270340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4FA-41C8-835B-AAE6E0610DCB}"/>
                </c:ext>
              </c:extLst>
            </c:dLbl>
            <c:dLbl>
              <c:idx val="11"/>
              <c:layout>
                <c:manualLayout>
                  <c:x val="-3.0179571303587154E-2"/>
                  <c:y val="-0.1064468503937008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4FA-41C8-835B-AAE6E0610D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'pergunta 1'!$J$8:$J$19</c:f>
              <c:numCache>
                <c:formatCode>mmm\-yy</c:formatCode>
                <c:ptCount val="12"/>
                <c:pt idx="0">
                  <c:v>44317</c:v>
                </c:pt>
                <c:pt idx="1">
                  <c:v>44348</c:v>
                </c:pt>
                <c:pt idx="2">
                  <c:v>44378</c:v>
                </c:pt>
                <c:pt idx="3">
                  <c:v>44409</c:v>
                </c:pt>
                <c:pt idx="4">
                  <c:v>44440</c:v>
                </c:pt>
                <c:pt idx="5">
                  <c:v>44470</c:v>
                </c:pt>
                <c:pt idx="6">
                  <c:v>44501</c:v>
                </c:pt>
                <c:pt idx="7">
                  <c:v>44531</c:v>
                </c:pt>
                <c:pt idx="8">
                  <c:v>44562</c:v>
                </c:pt>
                <c:pt idx="9">
                  <c:v>44593</c:v>
                </c:pt>
                <c:pt idx="10">
                  <c:v>44621</c:v>
                </c:pt>
                <c:pt idx="11">
                  <c:v>44652</c:v>
                </c:pt>
              </c:numCache>
            </c:numRef>
          </c:cat>
          <c:val>
            <c:numRef>
              <c:f>'pergunta 1'!$L$8:$L$19</c:f>
              <c:numCache>
                <c:formatCode>0.00</c:formatCode>
                <c:ptCount val="12"/>
                <c:pt idx="0">
                  <c:v>6.2100456621004563</c:v>
                </c:pt>
                <c:pt idx="1">
                  <c:v>-0.68787618228718828</c:v>
                </c:pt>
                <c:pt idx="2">
                  <c:v>2.7705627705627704</c:v>
                </c:pt>
                <c:pt idx="3">
                  <c:v>4.8020219039595622</c:v>
                </c:pt>
                <c:pt idx="4">
                  <c:v>-7.3151125401929269</c:v>
                </c:pt>
                <c:pt idx="5">
                  <c:v>-10.797918473547268</c:v>
                </c:pt>
                <c:pt idx="6">
                  <c:v>-1.3125911521633447</c:v>
                </c:pt>
                <c:pt idx="7">
                  <c:v>-6.1083743842364537</c:v>
                </c:pt>
                <c:pt idx="8">
                  <c:v>45.27806925498426</c:v>
                </c:pt>
                <c:pt idx="9">
                  <c:v>-7.042253521126761</c:v>
                </c:pt>
                <c:pt idx="10">
                  <c:v>13.986013986013987</c:v>
                </c:pt>
                <c:pt idx="11">
                  <c:v>-8.4526244035446485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FA-41C8-835B-AAE6E0610DC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6922247"/>
        <c:axId val="156849671"/>
      </c:lineChart>
      <c:dateAx>
        <c:axId val="126922247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49671"/>
        <c:crosses val="autoZero"/>
        <c:auto val="1"/>
        <c:lblOffset val="100"/>
        <c:baseTimeUnit val="months"/>
      </c:dateAx>
      <c:valAx>
        <c:axId val="156849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22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variação mercado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'pergunta 1'!$P$6</c:f>
              <c:strCache>
                <c:ptCount val="1"/>
                <c:pt idx="0">
                  <c:v>variação mercado%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'pergunta 1'!$N$8:$N$19</c:f>
              <c:numCache>
                <c:formatCode>mmm\-yy</c:formatCode>
                <c:ptCount val="12"/>
                <c:pt idx="0">
                  <c:v>44317</c:v>
                </c:pt>
                <c:pt idx="1">
                  <c:v>44348</c:v>
                </c:pt>
                <c:pt idx="2">
                  <c:v>44378</c:v>
                </c:pt>
                <c:pt idx="3">
                  <c:v>44409</c:v>
                </c:pt>
                <c:pt idx="4">
                  <c:v>44440</c:v>
                </c:pt>
                <c:pt idx="5">
                  <c:v>44470</c:v>
                </c:pt>
                <c:pt idx="6">
                  <c:v>44501</c:v>
                </c:pt>
                <c:pt idx="7">
                  <c:v>44531</c:v>
                </c:pt>
                <c:pt idx="8">
                  <c:v>44562</c:v>
                </c:pt>
                <c:pt idx="9">
                  <c:v>44593</c:v>
                </c:pt>
                <c:pt idx="10">
                  <c:v>44621</c:v>
                </c:pt>
                <c:pt idx="11">
                  <c:v>44652</c:v>
                </c:pt>
              </c:numCache>
            </c:numRef>
          </c:cat>
          <c:val>
            <c:numRef>
              <c:f>'pergunta 1'!$P$8:$P$19</c:f>
              <c:numCache>
                <c:formatCode>0.00</c:formatCode>
                <c:ptCount val="12"/>
                <c:pt idx="0">
                  <c:v>14.392678868552414</c:v>
                </c:pt>
                <c:pt idx="1">
                  <c:v>-6.3504132231404959</c:v>
                </c:pt>
                <c:pt idx="2">
                  <c:v>-0.29651593773165308</c:v>
                </c:pt>
                <c:pt idx="3">
                  <c:v>6.3586475482386255</c:v>
                </c:pt>
                <c:pt idx="4">
                  <c:v>-13.31846476482141</c:v>
                </c:pt>
                <c:pt idx="5">
                  <c:v>8.75</c:v>
                </c:pt>
                <c:pt idx="6">
                  <c:v>-9.3066370040786062</c:v>
                </c:pt>
                <c:pt idx="7">
                  <c:v>-37.043959039053071</c:v>
                </c:pt>
                <c:pt idx="8">
                  <c:v>69.893005133279729</c:v>
                </c:pt>
                <c:pt idx="9">
                  <c:v>-9.7724790680742633</c:v>
                </c:pt>
                <c:pt idx="10">
                  <c:v>17.076516511670128</c:v>
                </c:pt>
                <c:pt idx="11">
                  <c:v>-16.255427665586879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8E-4C46-A29E-9EBE8A98B36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21732103"/>
        <c:axId val="321784327"/>
      </c:lineChart>
      <c:dateAx>
        <c:axId val="32173210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784327"/>
        <c:crosses val="autoZero"/>
        <c:auto val="1"/>
        <c:lblOffset val="100"/>
        <c:baseTimeUnit val="months"/>
      </c:dateAx>
      <c:valAx>
        <c:axId val="321784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732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'pergunta 1'!J7:J19</c:f>
              <c:numCache>
                <c:formatCode>mmm\-yy</c:formatCode>
                <c:ptCount val="13"/>
                <c:pt idx="0">
                  <c:v>44287</c:v>
                </c:pt>
                <c:pt idx="1">
                  <c:v>44317</c:v>
                </c:pt>
                <c:pt idx="2">
                  <c:v>44348</c:v>
                </c:pt>
                <c:pt idx="3">
                  <c:v>44378</c:v>
                </c:pt>
                <c:pt idx="4">
                  <c:v>44409</c:v>
                </c:pt>
                <c:pt idx="5">
                  <c:v>44440</c:v>
                </c:pt>
                <c:pt idx="6">
                  <c:v>44470</c:v>
                </c:pt>
                <c:pt idx="7">
                  <c:v>44501</c:v>
                </c:pt>
                <c:pt idx="8">
                  <c:v>44531</c:v>
                </c:pt>
                <c:pt idx="9">
                  <c:v>44562</c:v>
                </c:pt>
                <c:pt idx="10">
                  <c:v>44593</c:v>
                </c:pt>
                <c:pt idx="11">
                  <c:v>44621</c:v>
                </c:pt>
                <c:pt idx="12">
                  <c:v>44652</c:v>
                </c:pt>
              </c:numCache>
            </c:numRef>
          </c:cat>
          <c:val>
            <c:numRef>
              <c:f>'pergunta 1'!$L$8:$L$19</c:f>
              <c:numCache>
                <c:formatCode>0.00</c:formatCode>
                <c:ptCount val="12"/>
                <c:pt idx="0">
                  <c:v>6.2100456621004563</c:v>
                </c:pt>
                <c:pt idx="1">
                  <c:v>-0.68787618228718828</c:v>
                </c:pt>
                <c:pt idx="2">
                  <c:v>2.7705627705627704</c:v>
                </c:pt>
                <c:pt idx="3">
                  <c:v>4.8020219039595622</c:v>
                </c:pt>
                <c:pt idx="4">
                  <c:v>-7.3151125401929269</c:v>
                </c:pt>
                <c:pt idx="5">
                  <c:v>-10.797918473547268</c:v>
                </c:pt>
                <c:pt idx="6">
                  <c:v>-1.3125911521633447</c:v>
                </c:pt>
                <c:pt idx="7">
                  <c:v>-6.1083743842364537</c:v>
                </c:pt>
                <c:pt idx="8">
                  <c:v>45.27806925498426</c:v>
                </c:pt>
                <c:pt idx="9">
                  <c:v>-7.042253521126761</c:v>
                </c:pt>
                <c:pt idx="10">
                  <c:v>13.986013986013987</c:v>
                </c:pt>
                <c:pt idx="11">
                  <c:v>-8.4526244035446485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58-4B91-AB10-52796ADE986A}"/>
            </c:ext>
          </c:extLst>
        </c:ser>
        <c:ser>
          <c:idx val="1"/>
          <c:order val="1"/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'pergunta 1'!J7:J19</c:f>
              <c:numCache>
                <c:formatCode>mmm\-yy</c:formatCode>
                <c:ptCount val="13"/>
                <c:pt idx="0">
                  <c:v>44287</c:v>
                </c:pt>
                <c:pt idx="1">
                  <c:v>44317</c:v>
                </c:pt>
                <c:pt idx="2">
                  <c:v>44348</c:v>
                </c:pt>
                <c:pt idx="3">
                  <c:v>44378</c:v>
                </c:pt>
                <c:pt idx="4">
                  <c:v>44409</c:v>
                </c:pt>
                <c:pt idx="5">
                  <c:v>44440</c:v>
                </c:pt>
                <c:pt idx="6">
                  <c:v>44470</c:v>
                </c:pt>
                <c:pt idx="7">
                  <c:v>44501</c:v>
                </c:pt>
                <c:pt idx="8">
                  <c:v>44531</c:v>
                </c:pt>
                <c:pt idx="9">
                  <c:v>44562</c:v>
                </c:pt>
                <c:pt idx="10">
                  <c:v>44593</c:v>
                </c:pt>
                <c:pt idx="11">
                  <c:v>44621</c:v>
                </c:pt>
                <c:pt idx="12">
                  <c:v>44652</c:v>
                </c:pt>
              </c:numCache>
            </c:numRef>
          </c:cat>
          <c:val>
            <c:numRef>
              <c:f>'pergunta 1'!$P$8:$P$19</c:f>
              <c:numCache>
                <c:formatCode>0.00</c:formatCode>
                <c:ptCount val="12"/>
                <c:pt idx="0">
                  <c:v>14.392678868552414</c:v>
                </c:pt>
                <c:pt idx="1">
                  <c:v>-6.3504132231404959</c:v>
                </c:pt>
                <c:pt idx="2">
                  <c:v>-0.29651593773165308</c:v>
                </c:pt>
                <c:pt idx="3">
                  <c:v>6.3586475482386255</c:v>
                </c:pt>
                <c:pt idx="4">
                  <c:v>-13.31846476482141</c:v>
                </c:pt>
                <c:pt idx="5">
                  <c:v>8.75</c:v>
                </c:pt>
                <c:pt idx="6">
                  <c:v>-9.3066370040786062</c:v>
                </c:pt>
                <c:pt idx="7">
                  <c:v>-37.043959039053071</c:v>
                </c:pt>
                <c:pt idx="8">
                  <c:v>69.893005133279729</c:v>
                </c:pt>
                <c:pt idx="9">
                  <c:v>-9.7724790680742633</c:v>
                </c:pt>
                <c:pt idx="10">
                  <c:v>17.076516511670128</c:v>
                </c:pt>
                <c:pt idx="11">
                  <c:v>-16.255427665586879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58-4B91-AB10-52796ADE9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19463"/>
        <c:axId val="84018183"/>
      </c:lineChart>
      <c:dateAx>
        <c:axId val="44819463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18183"/>
        <c:crosses val="autoZero"/>
        <c:auto val="1"/>
        <c:lblOffset val="100"/>
        <c:baseTimeUnit val="months"/>
      </c:dateAx>
      <c:valAx>
        <c:axId val="84018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19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conversão de usuários para lead</a:t>
            </a:r>
          </a:p>
        </c:rich>
      </c:tx>
      <c:layout>
        <c:manualLayout>
          <c:xMode val="edge"/>
          <c:yMode val="edge"/>
          <c:x val="0.25462702172495377"/>
          <c:y val="3.03030303030303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'pergunta 2'!$M$8</c:f>
              <c:strCache>
                <c:ptCount val="1"/>
                <c:pt idx="0">
                  <c:v>usuario para lead%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'pergunta 2'!$J$9:$J$21</c:f>
              <c:numCache>
                <c:formatCode>mmm\-yy</c:formatCode>
                <c:ptCount val="13"/>
                <c:pt idx="0">
                  <c:v>44287</c:v>
                </c:pt>
                <c:pt idx="1">
                  <c:v>44317</c:v>
                </c:pt>
                <c:pt idx="2">
                  <c:v>44348</c:v>
                </c:pt>
                <c:pt idx="3">
                  <c:v>44378</c:v>
                </c:pt>
                <c:pt idx="4">
                  <c:v>44409</c:v>
                </c:pt>
                <c:pt idx="5">
                  <c:v>44440</c:v>
                </c:pt>
                <c:pt idx="6">
                  <c:v>44470</c:v>
                </c:pt>
                <c:pt idx="7">
                  <c:v>44501</c:v>
                </c:pt>
                <c:pt idx="8">
                  <c:v>44531</c:v>
                </c:pt>
                <c:pt idx="9">
                  <c:v>44562</c:v>
                </c:pt>
                <c:pt idx="10">
                  <c:v>44593</c:v>
                </c:pt>
                <c:pt idx="11">
                  <c:v>44621</c:v>
                </c:pt>
                <c:pt idx="12">
                  <c:v>44652</c:v>
                </c:pt>
              </c:numCache>
            </c:numRef>
          </c:cat>
          <c:val>
            <c:numRef>
              <c:f>'pergunta 2'!$M$9:$M$21</c:f>
              <c:numCache>
                <c:formatCode>0.00</c:formatCode>
                <c:ptCount val="13"/>
                <c:pt idx="0">
                  <c:v>0.71194325257516</c:v>
                </c:pt>
                <c:pt idx="1">
                  <c:v>0.77420604331335263</c:v>
                </c:pt>
                <c:pt idx="2">
                  <c:v>0.93141686253239309</c:v>
                </c:pt>
                <c:pt idx="3">
                  <c:v>0.6904098576772949</c:v>
                </c:pt>
                <c:pt idx="4">
                  <c:v>0.62853599937998916</c:v>
                </c:pt>
                <c:pt idx="5">
                  <c:v>0.59362596668214762</c:v>
                </c:pt>
                <c:pt idx="6">
                  <c:v>0.60707285526406363</c:v>
                </c:pt>
                <c:pt idx="7">
                  <c:v>0.56726679232474675</c:v>
                </c:pt>
                <c:pt idx="8">
                  <c:v>0.66091139205488547</c:v>
                </c:pt>
                <c:pt idx="9">
                  <c:v>0.78687256329081701</c:v>
                </c:pt>
                <c:pt idx="10">
                  <c:v>0.74076936607518828</c:v>
                </c:pt>
                <c:pt idx="11">
                  <c:v>0.73338027931821448</c:v>
                </c:pt>
                <c:pt idx="12">
                  <c:v>0.7830865557377289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7-4BE4-B7C1-85DB8915B0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4076679"/>
        <c:axId val="74078727"/>
      </c:barChart>
      <c:dateAx>
        <c:axId val="7407667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78727"/>
        <c:crosses val="autoZero"/>
        <c:auto val="1"/>
        <c:lblOffset val="100"/>
        <c:baseTimeUnit val="months"/>
      </c:dateAx>
      <c:valAx>
        <c:axId val="74078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76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conversão lead para venda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'pergunta 2'!$R$8</c:f>
              <c:strCache>
                <c:ptCount val="1"/>
                <c:pt idx="0">
                  <c:v>lead para venda%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'pergunta 2'!$O$9:$O$21</c:f>
              <c:numCache>
                <c:formatCode>mmm\-yy</c:formatCode>
                <c:ptCount val="13"/>
                <c:pt idx="0">
                  <c:v>44287</c:v>
                </c:pt>
                <c:pt idx="1">
                  <c:v>44317</c:v>
                </c:pt>
                <c:pt idx="2">
                  <c:v>44348</c:v>
                </c:pt>
                <c:pt idx="3">
                  <c:v>44378</c:v>
                </c:pt>
                <c:pt idx="4">
                  <c:v>44409</c:v>
                </c:pt>
                <c:pt idx="5">
                  <c:v>44440</c:v>
                </c:pt>
                <c:pt idx="6">
                  <c:v>44470</c:v>
                </c:pt>
                <c:pt idx="7">
                  <c:v>44501</c:v>
                </c:pt>
                <c:pt idx="8">
                  <c:v>44531</c:v>
                </c:pt>
                <c:pt idx="9">
                  <c:v>44562</c:v>
                </c:pt>
                <c:pt idx="10">
                  <c:v>44593</c:v>
                </c:pt>
                <c:pt idx="11">
                  <c:v>44621</c:v>
                </c:pt>
                <c:pt idx="12">
                  <c:v>44652</c:v>
                </c:pt>
              </c:numCache>
            </c:numRef>
          </c:cat>
          <c:val>
            <c:numRef>
              <c:f>'pergunta 2'!$R$9:$R$21</c:f>
              <c:numCache>
                <c:formatCode>0.00</c:formatCode>
                <c:ptCount val="13"/>
                <c:pt idx="0">
                  <c:v>29.626623376623378</c:v>
                </c:pt>
                <c:pt idx="1">
                  <c:v>28.804953560371516</c:v>
                </c:pt>
                <c:pt idx="2">
                  <c:v>24.911032028469752</c:v>
                </c:pt>
                <c:pt idx="3">
                  <c:v>31.699826412071037</c:v>
                </c:pt>
                <c:pt idx="4">
                  <c:v>27.889250084071293</c:v>
                </c:pt>
                <c:pt idx="5">
                  <c:v>26.41466208476518</c:v>
                </c:pt>
                <c:pt idx="6">
                  <c:v>24.552399140606351</c:v>
                </c:pt>
                <c:pt idx="7">
                  <c:v>25.843411839592616</c:v>
                </c:pt>
                <c:pt idx="8">
                  <c:v>24.931327665140614</c:v>
                </c:pt>
                <c:pt idx="9">
                  <c:v>22.388421733505822</c:v>
                </c:pt>
                <c:pt idx="10">
                  <c:v>23.151645979492713</c:v>
                </c:pt>
                <c:pt idx="11">
                  <c:v>24.953223337302262</c:v>
                </c:pt>
                <c:pt idx="12">
                  <c:v>22.842078408027895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0C-4129-8AB5-DE68E346F4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83367"/>
        <c:axId val="3993607"/>
      </c:barChart>
      <c:dateAx>
        <c:axId val="398336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3607"/>
        <c:crosses val="autoZero"/>
        <c:auto val="1"/>
        <c:lblOffset val="100"/>
        <c:baseTimeUnit val="months"/>
      </c:dateAx>
      <c:valAx>
        <c:axId val="3993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3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'pergunta 2'!$W$8</c:f>
              <c:strCache>
                <c:ptCount val="1"/>
                <c:pt idx="0">
                  <c:v>valor investido P/ venda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'pergunta 2'!$T$9:$T$21</c:f>
              <c:numCache>
                <c:formatCode>mmm\-yy</c:formatCode>
                <c:ptCount val="13"/>
                <c:pt idx="0">
                  <c:v>44287</c:v>
                </c:pt>
                <c:pt idx="1">
                  <c:v>44317</c:v>
                </c:pt>
                <c:pt idx="2">
                  <c:v>44348</c:v>
                </c:pt>
                <c:pt idx="3">
                  <c:v>44378</c:v>
                </c:pt>
                <c:pt idx="4">
                  <c:v>44409</c:v>
                </c:pt>
                <c:pt idx="5">
                  <c:v>44440</c:v>
                </c:pt>
                <c:pt idx="6">
                  <c:v>44470</c:v>
                </c:pt>
                <c:pt idx="7">
                  <c:v>44501</c:v>
                </c:pt>
                <c:pt idx="8">
                  <c:v>44531</c:v>
                </c:pt>
                <c:pt idx="9">
                  <c:v>44562</c:v>
                </c:pt>
                <c:pt idx="10">
                  <c:v>44593</c:v>
                </c:pt>
                <c:pt idx="11">
                  <c:v>44621</c:v>
                </c:pt>
                <c:pt idx="12">
                  <c:v>44652</c:v>
                </c:pt>
              </c:numCache>
            </c:numRef>
          </c:cat>
          <c:val>
            <c:numRef>
              <c:f>'pergunta 2'!$W$9:$W$21</c:f>
              <c:numCache>
                <c:formatCode>0.00</c:formatCode>
                <c:ptCount val="13"/>
                <c:pt idx="0">
                  <c:v>114.34127331232875</c:v>
                </c:pt>
                <c:pt idx="1">
                  <c:v>144.57267539266266</c:v>
                </c:pt>
                <c:pt idx="2">
                  <c:v>165.04865246580084</c:v>
                </c:pt>
                <c:pt idx="3">
                  <c:v>185.22648068800896</c:v>
                </c:pt>
                <c:pt idx="4">
                  <c:v>291.07169334137188</c:v>
                </c:pt>
                <c:pt idx="5">
                  <c:v>269.01698925036135</c:v>
                </c:pt>
                <c:pt idx="6">
                  <c:v>265.9589324874413</c:v>
                </c:pt>
                <c:pt idx="7">
                  <c:v>272.03922567454845</c:v>
                </c:pt>
                <c:pt idx="8">
                  <c:v>300.80746242672262</c:v>
                </c:pt>
                <c:pt idx="9">
                  <c:v>324.73819857782593</c:v>
                </c:pt>
                <c:pt idx="10">
                  <c:v>319.25130736907539</c:v>
                </c:pt>
                <c:pt idx="11">
                  <c:v>321.13658662803908</c:v>
                </c:pt>
                <c:pt idx="12">
                  <c:v>362.51360311342768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9B-4348-A1E7-3362808F4D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134855"/>
        <c:axId val="101136903"/>
      </c:barChart>
      <c:dateAx>
        <c:axId val="10113485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36903"/>
        <c:crosses val="autoZero"/>
        <c:auto val="1"/>
        <c:lblOffset val="100"/>
        <c:baseTimeUnit val="months"/>
      </c:dateAx>
      <c:valAx>
        <c:axId val="101136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34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'pergunta 2'!$AC$8</c:f>
              <c:strCache>
                <c:ptCount val="1"/>
                <c:pt idx="0">
                  <c:v>valor investido P/ lead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'pergunta 2'!$Z$9:$Z$21</c:f>
              <c:numCache>
                <c:formatCode>mmm\-yy</c:formatCode>
                <c:ptCount val="13"/>
                <c:pt idx="0">
                  <c:v>44287</c:v>
                </c:pt>
                <c:pt idx="1">
                  <c:v>44317</c:v>
                </c:pt>
                <c:pt idx="2">
                  <c:v>44348</c:v>
                </c:pt>
                <c:pt idx="3">
                  <c:v>44378</c:v>
                </c:pt>
                <c:pt idx="4">
                  <c:v>44409</c:v>
                </c:pt>
                <c:pt idx="5">
                  <c:v>44440</c:v>
                </c:pt>
                <c:pt idx="6">
                  <c:v>44470</c:v>
                </c:pt>
                <c:pt idx="7">
                  <c:v>44501</c:v>
                </c:pt>
                <c:pt idx="8">
                  <c:v>44531</c:v>
                </c:pt>
                <c:pt idx="9">
                  <c:v>44562</c:v>
                </c:pt>
                <c:pt idx="10">
                  <c:v>44593</c:v>
                </c:pt>
                <c:pt idx="11">
                  <c:v>44621</c:v>
                </c:pt>
                <c:pt idx="12">
                  <c:v>44652</c:v>
                </c:pt>
              </c:numCache>
            </c:numRef>
          </c:cat>
          <c:val>
            <c:numRef>
              <c:f>'pergunta 2'!$AC$9:$AC$21</c:f>
              <c:numCache>
                <c:formatCode>0.00</c:formatCode>
                <c:ptCount val="13"/>
                <c:pt idx="0">
                  <c:v>33.875458408279215</c:v>
                </c:pt>
                <c:pt idx="1">
                  <c:v>41.644092007843142</c:v>
                </c:pt>
                <c:pt idx="2">
                  <c:v>41.115322678313376</c:v>
                </c:pt>
                <c:pt idx="3">
                  <c:v>58.716472847287122</c:v>
                </c:pt>
                <c:pt idx="4">
                  <c:v>81.177712479916295</c:v>
                </c:pt>
                <c:pt idx="5">
                  <c:v>71.059928661092016</c:v>
                </c:pt>
                <c:pt idx="6">
                  <c:v>65.299298654412354</c:v>
                </c:pt>
                <c:pt idx="7">
                  <c:v>70.30421745631233</c:v>
                </c:pt>
                <c:pt idx="8">
                  <c:v>74.995294098800969</c:v>
                </c:pt>
                <c:pt idx="9">
                  <c:v>72.703757427393271</c:v>
                </c:pt>
                <c:pt idx="10">
                  <c:v>73.911932466990464</c:v>
                </c:pt>
                <c:pt idx="11">
                  <c:v>80.133929679083749</c:v>
                </c:pt>
                <c:pt idx="12">
                  <c:v>82.805641462936194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2-40C1-9DBD-3B19AC0239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399431"/>
        <c:axId val="47879687"/>
      </c:barChart>
      <c:dateAx>
        <c:axId val="4739943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79687"/>
        <c:crosses val="autoZero"/>
        <c:auto val="1"/>
        <c:lblOffset val="100"/>
        <c:baseTimeUnit val="months"/>
      </c:dateAx>
      <c:valAx>
        <c:axId val="47879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99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CAC P/ venda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{"Valor investido por venda"}</c:f>
              <c:strCache>
                <c:ptCount val="1"/>
                <c:pt idx="0">
                  <c:v>Valor investido por venda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6.1000082020997423E-2"/>
                  <c:y val="-9.25578703703703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8F0-45AB-891D-1EAE389713C2}"/>
                </c:ext>
              </c:extLst>
            </c:dLbl>
            <c:dLbl>
              <c:idx val="4"/>
              <c:layout>
                <c:manualLayout>
                  <c:x val="-7.5322889326334214E-2"/>
                  <c:y val="-5.34953703703703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8F0-45AB-891D-1EAE389713C2}"/>
                </c:ext>
              </c:extLst>
            </c:dLbl>
            <c:dLbl>
              <c:idx val="5"/>
              <c:layout>
                <c:manualLayout>
                  <c:x val="-5.5791721347331631E-2"/>
                  <c:y val="-8.82176837270341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8F0-45AB-891D-1EAE389713C2}"/>
                </c:ext>
              </c:extLst>
            </c:dLbl>
            <c:dLbl>
              <c:idx val="6"/>
              <c:layout>
                <c:manualLayout>
                  <c:x val="-5.9697971347331583E-2"/>
                  <c:y val="-6.00058781714785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8F0-45AB-891D-1EAE389713C2}"/>
                </c:ext>
              </c:extLst>
            </c:dLbl>
            <c:dLbl>
              <c:idx val="7"/>
              <c:layout>
                <c:manualLayout>
                  <c:x val="-6.2302138013998247E-2"/>
                  <c:y val="-8.82176837270341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8F0-45AB-891D-1EAE389713C2}"/>
                </c:ext>
              </c:extLst>
            </c:dLbl>
            <c:dLbl>
              <c:idx val="8"/>
              <c:layout>
                <c:manualLayout>
                  <c:x val="-5.0583388013998247E-2"/>
                  <c:y val="-7.30267115048118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8F0-45AB-891D-1EAE389713C2}"/>
                </c:ext>
              </c:extLst>
            </c:dLbl>
            <c:dLbl>
              <c:idx val="9"/>
              <c:layout>
                <c:manualLayout>
                  <c:x val="-6.4906304680664911E-2"/>
                  <c:y val="-9.03878226159230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8F0-45AB-891D-1EAE389713C2}"/>
                </c:ext>
              </c:extLst>
            </c:dLbl>
            <c:dLbl>
              <c:idx val="10"/>
              <c:layout>
                <c:manualLayout>
                  <c:x val="-5.1885471347331583E-2"/>
                  <c:y val="-0.1099190726159230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8F0-45AB-891D-1EAE389713C2}"/>
                </c:ext>
              </c:extLst>
            </c:dLbl>
            <c:dLbl>
              <c:idx val="11"/>
              <c:layout>
                <c:manualLayout>
                  <c:x val="-5.8395888013998351E-2"/>
                  <c:y val="-6.4346155949256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8F0-45AB-891D-1EAE389713C2}"/>
                </c:ext>
              </c:extLst>
            </c:dLbl>
            <c:dLbl>
              <c:idx val="12"/>
              <c:layout>
                <c:manualLayout>
                  <c:x val="-1.5253472222222324E-2"/>
                  <c:y val="-6.43462926509186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8F0-45AB-891D-1EAE389713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'pergunta 2'!$T$9:$T$21</c:f>
              <c:numCache>
                <c:formatCode>mmm\-yy</c:formatCode>
                <c:ptCount val="13"/>
                <c:pt idx="0">
                  <c:v>44287</c:v>
                </c:pt>
                <c:pt idx="1">
                  <c:v>44317</c:v>
                </c:pt>
                <c:pt idx="2">
                  <c:v>44348</c:v>
                </c:pt>
                <c:pt idx="3">
                  <c:v>44378</c:v>
                </c:pt>
                <c:pt idx="4">
                  <c:v>44409</c:v>
                </c:pt>
                <c:pt idx="5">
                  <c:v>44440</c:v>
                </c:pt>
                <c:pt idx="6">
                  <c:v>44470</c:v>
                </c:pt>
                <c:pt idx="7">
                  <c:v>44501</c:v>
                </c:pt>
                <c:pt idx="8">
                  <c:v>44531</c:v>
                </c:pt>
                <c:pt idx="9">
                  <c:v>44562</c:v>
                </c:pt>
                <c:pt idx="10">
                  <c:v>44593</c:v>
                </c:pt>
                <c:pt idx="11">
                  <c:v>44621</c:v>
                </c:pt>
                <c:pt idx="12">
                  <c:v>44652</c:v>
                </c:pt>
              </c:numCache>
            </c:numRef>
          </c:cat>
          <c:val>
            <c:numRef>
              <c:f>'pergunta 2'!$W$9:$W$21</c:f>
              <c:numCache>
                <c:formatCode>0.00</c:formatCode>
                <c:ptCount val="13"/>
                <c:pt idx="0">
                  <c:v>114.34127331232875</c:v>
                </c:pt>
                <c:pt idx="1">
                  <c:v>144.57267539266266</c:v>
                </c:pt>
                <c:pt idx="2">
                  <c:v>165.04865246580084</c:v>
                </c:pt>
                <c:pt idx="3">
                  <c:v>185.22648068800896</c:v>
                </c:pt>
                <c:pt idx="4">
                  <c:v>291.07169334137188</c:v>
                </c:pt>
                <c:pt idx="5">
                  <c:v>269.01698925036135</c:v>
                </c:pt>
                <c:pt idx="6">
                  <c:v>265.9589324874413</c:v>
                </c:pt>
                <c:pt idx="7">
                  <c:v>272.03922567454845</c:v>
                </c:pt>
                <c:pt idx="8">
                  <c:v>300.80746242672262</c:v>
                </c:pt>
                <c:pt idx="9">
                  <c:v>324.73819857782593</c:v>
                </c:pt>
                <c:pt idx="10">
                  <c:v>319.25130736907539</c:v>
                </c:pt>
                <c:pt idx="11">
                  <c:v>321.13658662803908</c:v>
                </c:pt>
                <c:pt idx="12">
                  <c:v>362.51360311342768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AC-4CCC-8E83-80E54698795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18792"/>
        <c:axId val="1720840"/>
      </c:lineChart>
      <c:dateAx>
        <c:axId val="1718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840"/>
        <c:crosses val="autoZero"/>
        <c:auto val="1"/>
        <c:lblOffset val="100"/>
        <c:baseTimeUnit val="months"/>
      </c:dateAx>
      <c:valAx>
        <c:axId val="1720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'pergunta 2'!$R$8</c:f>
              <c:strCache>
                <c:ptCount val="1"/>
                <c:pt idx="0">
                  <c:v>lead para venda%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'pergunta 2'!$O$9:$O$21</c:f>
              <c:numCache>
                <c:formatCode>mmm\-yy</c:formatCode>
                <c:ptCount val="13"/>
                <c:pt idx="0">
                  <c:v>44287</c:v>
                </c:pt>
                <c:pt idx="1">
                  <c:v>44317</c:v>
                </c:pt>
                <c:pt idx="2">
                  <c:v>44348</c:v>
                </c:pt>
                <c:pt idx="3">
                  <c:v>44378</c:v>
                </c:pt>
                <c:pt idx="4">
                  <c:v>44409</c:v>
                </c:pt>
                <c:pt idx="5">
                  <c:v>44440</c:v>
                </c:pt>
                <c:pt idx="6">
                  <c:v>44470</c:v>
                </c:pt>
                <c:pt idx="7">
                  <c:v>44501</c:v>
                </c:pt>
                <c:pt idx="8">
                  <c:v>44531</c:v>
                </c:pt>
                <c:pt idx="9">
                  <c:v>44562</c:v>
                </c:pt>
                <c:pt idx="10">
                  <c:v>44593</c:v>
                </c:pt>
                <c:pt idx="11">
                  <c:v>44621</c:v>
                </c:pt>
                <c:pt idx="12">
                  <c:v>44652</c:v>
                </c:pt>
              </c:numCache>
            </c:numRef>
          </c:cat>
          <c:val>
            <c:numRef>
              <c:f>'pergunta 2'!$R$9:$R$21</c:f>
              <c:numCache>
                <c:formatCode>0.00</c:formatCode>
                <c:ptCount val="13"/>
                <c:pt idx="0">
                  <c:v>29.626623376623378</c:v>
                </c:pt>
                <c:pt idx="1">
                  <c:v>28.804953560371516</c:v>
                </c:pt>
                <c:pt idx="2">
                  <c:v>24.911032028469752</c:v>
                </c:pt>
                <c:pt idx="3">
                  <c:v>31.699826412071037</c:v>
                </c:pt>
                <c:pt idx="4">
                  <c:v>27.889250084071293</c:v>
                </c:pt>
                <c:pt idx="5">
                  <c:v>26.41466208476518</c:v>
                </c:pt>
                <c:pt idx="6">
                  <c:v>24.552399140606351</c:v>
                </c:pt>
                <c:pt idx="7">
                  <c:v>25.843411839592616</c:v>
                </c:pt>
                <c:pt idx="8">
                  <c:v>24.931327665140614</c:v>
                </c:pt>
                <c:pt idx="9">
                  <c:v>22.388421733505822</c:v>
                </c:pt>
                <c:pt idx="10">
                  <c:v>23.151645979492713</c:v>
                </c:pt>
                <c:pt idx="11">
                  <c:v>24.953223337302262</c:v>
                </c:pt>
                <c:pt idx="12">
                  <c:v>22.842078408027895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27-4DF1-85BC-FB15FD7D1DB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9512456"/>
        <c:axId val="49514504"/>
      </c:lineChart>
      <c:dateAx>
        <c:axId val="495124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14504"/>
        <c:crosses val="autoZero"/>
        <c:auto val="1"/>
        <c:lblOffset val="100"/>
        <c:baseTimeUnit val="months"/>
      </c:dateAx>
      <c:valAx>
        <c:axId val="49514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12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Variação mercado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'pergunta 2'!$B$19</c:f>
              <c:strCache>
                <c:ptCount val="1"/>
                <c:pt idx="0">
                  <c:v>Mercado 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'pergunta 2'!$A$20:$A$31</c:f>
              <c:numCache>
                <c:formatCode>mmm\-yy</c:formatCode>
                <c:ptCount val="12"/>
                <c:pt idx="0">
                  <c:v>44317</c:v>
                </c:pt>
                <c:pt idx="1">
                  <c:v>44348</c:v>
                </c:pt>
                <c:pt idx="2">
                  <c:v>44378</c:v>
                </c:pt>
                <c:pt idx="3">
                  <c:v>44409</c:v>
                </c:pt>
                <c:pt idx="4">
                  <c:v>44440</c:v>
                </c:pt>
                <c:pt idx="5">
                  <c:v>44470</c:v>
                </c:pt>
                <c:pt idx="6">
                  <c:v>44501</c:v>
                </c:pt>
                <c:pt idx="7">
                  <c:v>44531</c:v>
                </c:pt>
                <c:pt idx="8">
                  <c:v>44562</c:v>
                </c:pt>
                <c:pt idx="9">
                  <c:v>44593</c:v>
                </c:pt>
                <c:pt idx="10">
                  <c:v>44621</c:v>
                </c:pt>
                <c:pt idx="11">
                  <c:v>44652</c:v>
                </c:pt>
              </c:numCache>
            </c:numRef>
          </c:cat>
          <c:val>
            <c:numRef>
              <c:f>'pergunta 2'!$B$20:$B$31</c:f>
              <c:numCache>
                <c:formatCode>0.00</c:formatCode>
                <c:ptCount val="12"/>
                <c:pt idx="0">
                  <c:v>14.392678868552414</c:v>
                </c:pt>
                <c:pt idx="1">
                  <c:v>-6.3504132231404959</c:v>
                </c:pt>
                <c:pt idx="2">
                  <c:v>-0.29651593773165308</c:v>
                </c:pt>
                <c:pt idx="3">
                  <c:v>6.3586475482386255</c:v>
                </c:pt>
                <c:pt idx="4">
                  <c:v>-13.31846476482141</c:v>
                </c:pt>
                <c:pt idx="5">
                  <c:v>8.75</c:v>
                </c:pt>
                <c:pt idx="6">
                  <c:v>-9.3066370040786062</c:v>
                </c:pt>
                <c:pt idx="7">
                  <c:v>-37.043959039053071</c:v>
                </c:pt>
                <c:pt idx="8">
                  <c:v>69.893005133279729</c:v>
                </c:pt>
                <c:pt idx="9">
                  <c:v>-9.7724790680742633</c:v>
                </c:pt>
                <c:pt idx="10">
                  <c:v>17.076516511670128</c:v>
                </c:pt>
                <c:pt idx="11">
                  <c:v>-16.255427665586879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1D-4BB2-AA99-CAB023872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3913095"/>
        <c:axId val="1173915143"/>
      </c:lineChart>
      <c:dateAx>
        <c:axId val="117391309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915143"/>
        <c:crosses val="autoZero"/>
        <c:auto val="1"/>
        <c:lblOffset val="100"/>
        <c:baseTimeUnit val="months"/>
      </c:dateAx>
      <c:valAx>
        <c:axId val="1173915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913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 share 6%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7C-4724-9E0A-DB75456B72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7C-4724-9E0A-DB75456B72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Planilha1!$I$16:$J$16</c:f>
              <c:strCache>
                <c:ptCount val="2"/>
                <c:pt idx="0">
                  <c:v>Contabilizei</c:v>
                </c:pt>
                <c:pt idx="1">
                  <c:v>mercado total</c:v>
                </c:pt>
              </c:strCache>
            </c:strRef>
          </c:cat>
          <c:val>
            <c:numRef>
              <c:f>Planilha1!$I$17:$J$17</c:f>
              <c:numCache>
                <c:formatCode>General</c:formatCode>
                <c:ptCount val="2"/>
                <c:pt idx="0" formatCode="0.0">
                  <c:v>6.0285584955351634</c:v>
                </c:pt>
                <c:pt idx="1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64-4D25-A425-30062504A6B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 share 5,5%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B8-49F2-B12E-BD586376CF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B8-49F2-B12E-BD586376CF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Planilha1!$I$20:$J$20</c:f>
              <c:strCache>
                <c:ptCount val="2"/>
                <c:pt idx="0">
                  <c:v>Contabilizei</c:v>
                </c:pt>
                <c:pt idx="1">
                  <c:v>mercado total</c:v>
                </c:pt>
              </c:strCache>
            </c:strRef>
          </c:cat>
          <c:val>
            <c:numRef>
              <c:f>Planilha1!$I$21:$J$21</c:f>
              <c:numCache>
                <c:formatCode>General</c:formatCode>
                <c:ptCount val="2"/>
                <c:pt idx="0" formatCode="0.0">
                  <c:v>5.5265215423233611</c:v>
                </c:pt>
                <c:pt idx="1">
                  <c:v>94.5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4C-46C4-A5CF-FEE32FCC0FF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47</xdr:row>
      <xdr:rowOff>57150</xdr:rowOff>
    </xdr:from>
    <xdr:to>
      <xdr:col>4</xdr:col>
      <xdr:colOff>428625</xdr:colOff>
      <xdr:row>61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DDC611-FBC8-DCD1-F7DF-293BF59F8F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666750</xdr:colOff>
      <xdr:row>47</xdr:row>
      <xdr:rowOff>66675</xdr:rowOff>
    </xdr:from>
    <xdr:to>
      <xdr:col>10</xdr:col>
      <xdr:colOff>304800</xdr:colOff>
      <xdr:row>61</xdr:row>
      <xdr:rowOff>142875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26C56D2-1D31-1643-7193-EABB7326828A}"/>
            </a:ext>
            <a:ext uri="{147F2762-F138-4A5C-976F-8EAC2B608ADB}">
              <a16:predDERef xmlns:a16="http://schemas.microsoft.com/office/drawing/2014/main" pred="{5DDDC611-FBC8-DCD1-F7DF-293BF59F8F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600075</xdr:colOff>
      <xdr:row>47</xdr:row>
      <xdr:rowOff>85725</xdr:rowOff>
    </xdr:from>
    <xdr:to>
      <xdr:col>14</xdr:col>
      <xdr:colOff>1019175</xdr:colOff>
      <xdr:row>61</xdr:row>
      <xdr:rowOff>161925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875D159-E899-1F5C-26A3-727092ED4DFF}"/>
            </a:ext>
            <a:ext uri="{147F2762-F138-4A5C-976F-8EAC2B608ADB}">
              <a16:predDERef xmlns:a16="http://schemas.microsoft.com/office/drawing/2014/main" pred="{B26C56D2-1D31-1643-7193-EABB732682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48</xdr:row>
      <xdr:rowOff>38100</xdr:rowOff>
    </xdr:from>
    <xdr:to>
      <xdr:col>4</xdr:col>
      <xdr:colOff>419100</xdr:colOff>
      <xdr:row>62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2EF6CC-B0FC-4E4F-9BF4-DD4A7EFB6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666750</xdr:colOff>
      <xdr:row>47</xdr:row>
      <xdr:rowOff>66675</xdr:rowOff>
    </xdr:from>
    <xdr:to>
      <xdr:col>10</xdr:col>
      <xdr:colOff>304800</xdr:colOff>
      <xdr:row>61</xdr:row>
      <xdr:rowOff>142875</xdr:rowOff>
    </xdr:to>
    <xdr:graphicFrame macro="">
      <xdr:nvGraphicFramePr>
        <xdr:cNvPr id="3" name="Gráfico 5">
          <a:extLst>
            <a:ext uri="{FF2B5EF4-FFF2-40B4-BE49-F238E27FC236}">
              <a16:creationId xmlns:a16="http://schemas.microsoft.com/office/drawing/2014/main" id="{958D24B4-96A6-4F6C-8FEF-3CCFC7AD907A}"/>
            </a:ext>
            <a:ext uri="{147F2762-F138-4A5C-976F-8EAC2B608ADB}">
              <a16:predDERef xmlns:a16="http://schemas.microsoft.com/office/drawing/2014/main" pred="{102EF6CC-B0FC-4E4F-9BF4-DD4A7EFB6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600075</xdr:colOff>
      <xdr:row>47</xdr:row>
      <xdr:rowOff>85725</xdr:rowOff>
    </xdr:from>
    <xdr:to>
      <xdr:col>14</xdr:col>
      <xdr:colOff>1019175</xdr:colOff>
      <xdr:row>61</xdr:row>
      <xdr:rowOff>161925</xdr:rowOff>
    </xdr:to>
    <xdr:graphicFrame macro="">
      <xdr:nvGraphicFramePr>
        <xdr:cNvPr id="4" name="Gráfico 7">
          <a:extLst>
            <a:ext uri="{FF2B5EF4-FFF2-40B4-BE49-F238E27FC236}">
              <a16:creationId xmlns:a16="http://schemas.microsoft.com/office/drawing/2014/main" id="{2BF7E7C7-950E-456B-B735-26999A930EBA}"/>
            </a:ext>
            <a:ext uri="{147F2762-F138-4A5C-976F-8EAC2B608ADB}">
              <a16:predDERef xmlns:a16="http://schemas.microsoft.com/office/drawing/2014/main" pred="{958D24B4-96A6-4F6C-8FEF-3CCFC7AD90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876300</xdr:colOff>
      <xdr:row>28</xdr:row>
      <xdr:rowOff>85725</xdr:rowOff>
    </xdr:from>
    <xdr:to>
      <xdr:col>6</xdr:col>
      <xdr:colOff>276225</xdr:colOff>
      <xdr:row>41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13C12BF-3F08-5376-2CD8-A6676C431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1038225</xdr:colOff>
      <xdr:row>27</xdr:row>
      <xdr:rowOff>9525</xdr:rowOff>
    </xdr:from>
    <xdr:to>
      <xdr:col>12</xdr:col>
      <xdr:colOff>1143000</xdr:colOff>
      <xdr:row>40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999970C-64BF-F3C4-ED15-E3083EFB8627}"/>
            </a:ext>
            <a:ext uri="{147F2762-F138-4A5C-976F-8EAC2B608ADB}">
              <a16:predDERef xmlns:a16="http://schemas.microsoft.com/office/drawing/2014/main" pred="{713C12BF-3F08-5376-2CD8-A6676C431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295275</xdr:colOff>
      <xdr:row>25</xdr:row>
      <xdr:rowOff>161925</xdr:rowOff>
    </xdr:from>
    <xdr:to>
      <xdr:col>22</xdr:col>
      <xdr:colOff>95250</xdr:colOff>
      <xdr:row>40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493EC71-81DE-BF7A-FA82-1F3FBC6D1237}"/>
            </a:ext>
            <a:ext uri="{147F2762-F138-4A5C-976F-8EAC2B608ADB}">
              <a16:predDERef xmlns:a16="http://schemas.microsoft.com/office/drawing/2014/main" pred="{1999970C-64BF-F3C4-ED15-E3083EFB86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409575</xdr:colOff>
      <xdr:row>26</xdr:row>
      <xdr:rowOff>142875</xdr:rowOff>
    </xdr:from>
    <xdr:to>
      <xdr:col>28</xdr:col>
      <xdr:colOff>752475</xdr:colOff>
      <xdr:row>39</xdr:row>
      <xdr:rowOff>171450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09FE4A9-9EBB-A4FE-90A6-080B9786FA29}"/>
            </a:ext>
            <a:ext uri="{147F2762-F138-4A5C-976F-8EAC2B608ADB}">
              <a16:predDERef xmlns:a16="http://schemas.microsoft.com/office/drawing/2014/main" pred="{0493EC71-81DE-BF7A-FA82-1F3FBC6D12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285750</xdr:colOff>
      <xdr:row>50</xdr:row>
      <xdr:rowOff>38100</xdr:rowOff>
    </xdr:from>
    <xdr:to>
      <xdr:col>29</xdr:col>
      <xdr:colOff>533400</xdr:colOff>
      <xdr:row>63</xdr:row>
      <xdr:rowOff>180975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96511FD-2613-C6B7-D0F7-F914042D2A77}"/>
            </a:ext>
            <a:ext uri="{147F2762-F138-4A5C-976F-8EAC2B608ADB}">
              <a16:predDERef xmlns:a16="http://schemas.microsoft.com/office/drawing/2014/main" pred="{309FE4A9-9EBB-A4FE-90A6-080B9786F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371475</xdr:colOff>
      <xdr:row>49</xdr:row>
      <xdr:rowOff>133350</xdr:rowOff>
    </xdr:from>
    <xdr:to>
      <xdr:col>22</xdr:col>
      <xdr:colOff>581025</xdr:colOff>
      <xdr:row>63</xdr:row>
      <xdr:rowOff>76200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2CA28DCE-36D7-1895-A860-69921F02DFC9}"/>
            </a:ext>
            <a:ext uri="{147F2762-F138-4A5C-976F-8EAC2B608ADB}">
              <a16:predDERef xmlns:a16="http://schemas.microsoft.com/office/drawing/2014/main" pred="{F96511FD-2613-C6B7-D0F7-F914042D2A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714375</xdr:colOff>
      <xdr:row>44</xdr:row>
      <xdr:rowOff>123825</xdr:rowOff>
    </xdr:from>
    <xdr:to>
      <xdr:col>4</xdr:col>
      <xdr:colOff>228600</xdr:colOff>
      <xdr:row>58</xdr:row>
      <xdr:rowOff>66675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9E5C1C4-D19D-F290-3AA4-44250881EEE5}"/>
            </a:ext>
            <a:ext uri="{147F2762-F138-4A5C-976F-8EAC2B608ADB}">
              <a16:predDERef xmlns:a16="http://schemas.microsoft.com/office/drawing/2014/main" pred="{2CA28DCE-36D7-1895-A860-69921F02DF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23</xdr:row>
      <xdr:rowOff>19050</xdr:rowOff>
    </xdr:from>
    <xdr:to>
      <xdr:col>6</xdr:col>
      <xdr:colOff>1333500</xdr:colOff>
      <xdr:row>36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AACC2E-DB8B-0927-8662-700952E064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647700</xdr:colOff>
      <xdr:row>23</xdr:row>
      <xdr:rowOff>38100</xdr:rowOff>
    </xdr:from>
    <xdr:to>
      <xdr:col>14</xdr:col>
      <xdr:colOff>285750</xdr:colOff>
      <xdr:row>36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E2FB7B9-A236-B489-44C7-CDA048EF5439}"/>
            </a:ext>
            <a:ext uri="{147F2762-F138-4A5C-976F-8EAC2B608ADB}">
              <a16:predDERef xmlns:a16="http://schemas.microsoft.com/office/drawing/2014/main" pred="{03AACC2E-DB8B-0927-8662-700952E064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643708-C7A0-42A1-A6DC-9EF1AC9740DD}" name="Tabela1" displayName="Tabela1" ref="A1:G14" totalsRowShown="0" headerRowDxfId="35" dataDxfId="34" dataCellStyle="Vírgula">
  <autoFilter ref="A1:G14" xr:uid="{1D643708-C7A0-42A1-A6DC-9EF1AC9740DD}"/>
  <tableColumns count="7">
    <tableColumn id="1" xr3:uid="{A562A22A-E187-4AD8-B221-65D4ED599880}" name="Mês" dataDxfId="33"/>
    <tableColumn id="2" xr3:uid="{DC2FE4B1-02AF-466E-A3C1-17435A49C10D}" name="Mercado de Abertura de Empresa" dataDxfId="32" dataCellStyle="Vírgula"/>
    <tableColumn id="3" xr3:uid="{B5129D40-CEF9-47E7-9E63-747E70339C7A}" name="Usuários" dataDxfId="31" dataCellStyle="Vírgula"/>
    <tableColumn id="4" xr3:uid="{C9CCA24F-1397-4770-9A79-EE45B576F8AF}" name="Novos usuários" dataDxfId="30" dataCellStyle="Vírgula"/>
    <tableColumn id="5" xr3:uid="{F836D820-50F6-4E99-8683-BF886607FB37}" name="Leads" dataDxfId="29" dataCellStyle="Vírgula"/>
    <tableColumn id="6" xr3:uid="{F36F8225-2DAC-494D-91B4-E7BF578362DB}" name="Vendas" dataDxfId="28" dataCellStyle="Vírgula"/>
    <tableColumn id="7" xr3:uid="{1FE9CBD7-B184-4B90-943F-4E4CDE1490A0}" name="Investimento" dataDxfId="27" dataCellStyle="Moed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0DA9B3-7901-4E8C-B857-915C86ED0A97}" name="Tabela13" displayName="Tabela13" ref="A1:G14" totalsRowShown="0" headerRowDxfId="26" dataDxfId="25" dataCellStyle="Vírgula">
  <autoFilter ref="A1:G14" xr:uid="{1D643708-C7A0-42A1-A6DC-9EF1AC9740DD}"/>
  <tableColumns count="7">
    <tableColumn id="1" xr3:uid="{F47A05C8-3296-4600-B047-4FC76803A6CD}" name="Mês" dataDxfId="24"/>
    <tableColumn id="2" xr3:uid="{92255E41-196F-4D62-AC77-2ABB94F3F5C1}" name="Mercado de Abertura de Empresa" dataDxfId="23" dataCellStyle="Vírgula"/>
    <tableColumn id="3" xr3:uid="{3261E2B6-E893-434A-8DD6-95ECD31FEC3A}" name="Usuários" dataDxfId="22" dataCellStyle="Vírgula"/>
    <tableColumn id="4" xr3:uid="{ADF51FD9-B7DA-40E6-8932-4782A35EDB49}" name="Novos usuários" dataDxfId="21" dataCellStyle="Vírgula"/>
    <tableColumn id="5" xr3:uid="{4F2E072B-40C7-40B4-BCDF-3D9144B7666E}" name="Leads" dataDxfId="20" dataCellStyle="Vírgula"/>
    <tableColumn id="6" xr3:uid="{9BACB1C2-161A-4FEF-AB78-AED82799B4FD}" name="Vendas" dataDxfId="19" dataCellStyle="Vírgula"/>
    <tableColumn id="7" xr3:uid="{8AC462EB-3896-4CD6-BF78-06EB7A07786C}" name="Investimento" dataDxfId="18" dataCellStyle="Moeda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7F7F93-95C9-4DB0-AB06-34DDD5266C2C}" name="Tabela134" displayName="Tabela134" ref="A1:G14" totalsRowShown="0" headerRowDxfId="17" dataDxfId="16" dataCellStyle="Vírgula">
  <autoFilter ref="A1:G14" xr:uid="{997F7F93-95C9-4DB0-AB06-34DDD5266C2C}"/>
  <tableColumns count="7">
    <tableColumn id="1" xr3:uid="{45F8D588-DC03-436E-AEBD-5278017F3AE7}" name="Mês" dataDxfId="15"/>
    <tableColumn id="2" xr3:uid="{86CCEAB3-D281-478F-A92E-AA4E4D53C9A1}" name="Mercado de Abertura de Empresa" dataDxfId="14" dataCellStyle="Vírgula"/>
    <tableColumn id="3" xr3:uid="{50E869DA-E9FD-4457-A27E-A7ADC464B9A5}" name="Usuários" dataDxfId="13" dataCellStyle="Vírgula"/>
    <tableColumn id="4" xr3:uid="{9E71D80C-7AE9-44BE-8D65-B191116DD2CF}" name="Novos usuários" dataDxfId="12" dataCellStyle="Vírgula"/>
    <tableColumn id="5" xr3:uid="{7FC0B183-492D-4542-AAE9-4DCBE3001E97}" name="Leads" dataDxfId="11" dataCellStyle="Vírgula"/>
    <tableColumn id="6" xr3:uid="{4CD32386-32AD-4205-9982-0090992FA320}" name="Vendas" dataDxfId="10" dataCellStyle="Vírgula"/>
    <tableColumn id="7" xr3:uid="{1A40EB53-4C40-4180-9AE0-ED39A4F94BEC}" name="Investimento" dataDxfId="9" dataCellStyle="Moed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7F0D69-FCA4-46A1-B0B2-F98BBF0DB470}" name="Tabela15" displayName="Tabela15" ref="A1:G15" totalsRowShown="0" headerRowDxfId="8" dataDxfId="7" dataCellStyle="Vírgula">
  <autoFilter ref="A1:G15" xr:uid="{A47F0D69-FCA4-46A1-B0B2-F98BBF0DB470}"/>
  <tableColumns count="7">
    <tableColumn id="1" xr3:uid="{63FA69E3-49D0-421F-A31B-0B48CB860923}" name="Mês" dataDxfId="6"/>
    <tableColumn id="2" xr3:uid="{E401776F-5306-4FD2-85CE-4EC658C69D88}" name="Mercado de Abertura de Empresa" dataDxfId="5" dataCellStyle="Vírgula"/>
    <tableColumn id="3" xr3:uid="{E7CDC337-50D8-4BD7-A383-3680A18B74A0}" name="Usuários" dataDxfId="4" dataCellStyle="Vírgula"/>
    <tableColumn id="4" xr3:uid="{353C1E07-C756-48CE-A2E2-AE50148163E2}" name="Novos usuários" dataDxfId="3" dataCellStyle="Vírgula"/>
    <tableColumn id="5" xr3:uid="{807A2271-76B6-46EE-841A-304928D879ED}" name="Leads" dataDxfId="2" dataCellStyle="Vírgula"/>
    <tableColumn id="6" xr3:uid="{A4865B77-F15E-4131-8C95-A35D83984A66}" name="Vendas" dataDxfId="1" dataCellStyle="Vírgula"/>
    <tableColumn id="7" xr3:uid="{0117EB01-E2FA-459D-8476-DA08D6F4C2AC}" name="Investimento" dataDxfId="0" dataCellStyle="Moe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2" sqref="B2"/>
    </sheetView>
  </sheetViews>
  <sheetFormatPr defaultRowHeight="15.6"/>
  <cols>
    <col min="1" max="1" width="28.5" bestFit="1" customWidth="1"/>
    <col min="2" max="2" width="81" bestFit="1" customWidth="1"/>
  </cols>
  <sheetData>
    <row r="1" spans="1:2">
      <c r="A1" s="5" t="s">
        <v>0</v>
      </c>
      <c r="B1" s="5" t="s">
        <v>1</v>
      </c>
    </row>
    <row r="2" spans="1:2">
      <c r="A2" s="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437D0-9166-46A3-9770-99C12949BE15}">
  <dimension ref="A1:T67"/>
  <sheetViews>
    <sheetView workbookViewId="0">
      <selection sqref="A1:G14"/>
    </sheetView>
  </sheetViews>
  <sheetFormatPr defaultRowHeight="15.6"/>
  <cols>
    <col min="1" max="1" width="8.625" customWidth="1"/>
    <col min="2" max="2" width="28.5" bestFit="1" customWidth="1"/>
    <col min="3" max="3" width="10.25" bestFit="1" customWidth="1"/>
    <col min="4" max="4" width="15.75" bestFit="1" customWidth="1"/>
    <col min="6" max="6" width="26.5" bestFit="1" customWidth="1"/>
    <col min="7" max="7" width="15.375" bestFit="1" customWidth="1"/>
    <col min="10" max="10" width="7" bestFit="1" customWidth="1"/>
    <col min="11" max="11" width="16.625" bestFit="1" customWidth="1"/>
    <col min="12" max="12" width="19.125" bestFit="1" customWidth="1"/>
    <col min="13" max="13" width="11.75" bestFit="1" customWidth="1"/>
    <col min="14" max="14" width="7" bestFit="1" customWidth="1"/>
    <col min="15" max="15" width="15.5" bestFit="1" customWidth="1"/>
    <col min="16" max="16" width="17" bestFit="1" customWidth="1"/>
    <col min="19" max="19" width="19.125" bestFit="1" customWidth="1"/>
    <col min="20" max="20" width="17" bestFit="1" customWidth="1"/>
  </cols>
  <sheetData>
    <row r="1" spans="1:20" ht="15.75">
      <c r="A1" s="2" t="s">
        <v>16</v>
      </c>
      <c r="B1" s="2" t="s">
        <v>2</v>
      </c>
      <c r="C1" s="2" t="s">
        <v>17</v>
      </c>
      <c r="D1" s="2" t="s">
        <v>18</v>
      </c>
      <c r="E1" s="2" t="s">
        <v>19</v>
      </c>
      <c r="F1" s="2" t="s">
        <v>10</v>
      </c>
      <c r="G1" s="2" t="s">
        <v>12</v>
      </c>
    </row>
    <row r="2" spans="1:20" ht="15.6" customHeight="1">
      <c r="A2" s="1">
        <v>44287</v>
      </c>
      <c r="B2" s="3">
        <v>52888</v>
      </c>
      <c r="C2" s="3">
        <v>1038285</v>
      </c>
      <c r="D2" s="3">
        <v>860141</v>
      </c>
      <c r="E2" s="3">
        <v>7392</v>
      </c>
      <c r="F2" s="3">
        <v>2190</v>
      </c>
      <c r="G2" s="4">
        <v>250407.38855399998</v>
      </c>
    </row>
    <row r="3" spans="1:20" ht="15.6" customHeight="1">
      <c r="A3" s="1">
        <v>44317</v>
      </c>
      <c r="B3" s="3">
        <v>60500</v>
      </c>
      <c r="C3" s="3">
        <v>1043004</v>
      </c>
      <c r="D3" s="3">
        <v>865406</v>
      </c>
      <c r="E3" s="3">
        <v>8075</v>
      </c>
      <c r="F3" s="3">
        <v>2326</v>
      </c>
      <c r="G3" s="4">
        <v>336276.04296333337</v>
      </c>
    </row>
    <row r="4" spans="1:20" ht="15.75">
      <c r="A4" s="1">
        <v>44348</v>
      </c>
      <c r="B4" s="3">
        <v>56658</v>
      </c>
      <c r="C4" s="3">
        <v>995580</v>
      </c>
      <c r="D4" s="3">
        <v>813582</v>
      </c>
      <c r="E4" s="3">
        <v>9273</v>
      </c>
      <c r="F4" s="3">
        <v>2310</v>
      </c>
      <c r="G4" s="4">
        <v>381262.38719599997</v>
      </c>
      <c r="J4" s="27" t="s">
        <v>20</v>
      </c>
      <c r="K4" s="27"/>
      <c r="L4" s="27"/>
      <c r="N4" s="29" t="s">
        <v>21</v>
      </c>
      <c r="O4" s="29"/>
      <c r="P4" s="29"/>
      <c r="R4" s="31" t="s">
        <v>22</v>
      </c>
      <c r="S4" s="31"/>
      <c r="T4" s="31"/>
    </row>
    <row r="5" spans="1:20" ht="15.75">
      <c r="A5" s="1">
        <v>44378</v>
      </c>
      <c r="B5" s="3">
        <v>56490</v>
      </c>
      <c r="C5" s="3">
        <v>1084718</v>
      </c>
      <c r="D5" s="3">
        <v>892546</v>
      </c>
      <c r="E5" s="3">
        <v>7489</v>
      </c>
      <c r="F5" s="3">
        <v>2374</v>
      </c>
      <c r="G5" s="4">
        <v>439727.66515333328</v>
      </c>
      <c r="J5" s="28"/>
      <c r="K5" s="28"/>
      <c r="L5" s="28"/>
      <c r="N5" s="30"/>
      <c r="O5" s="30"/>
      <c r="P5" s="30"/>
      <c r="R5" s="31"/>
      <c r="S5" s="31"/>
      <c r="T5" s="31"/>
    </row>
    <row r="6" spans="1:20" ht="15.75">
      <c r="A6" s="1">
        <v>44409</v>
      </c>
      <c r="B6" s="3">
        <v>60082</v>
      </c>
      <c r="C6" s="3">
        <v>1419330</v>
      </c>
      <c r="D6" s="3">
        <v>1195234</v>
      </c>
      <c r="E6" s="3">
        <v>8921</v>
      </c>
      <c r="F6" s="3">
        <v>2488</v>
      </c>
      <c r="G6" s="4">
        <v>724186.37303333322</v>
      </c>
      <c r="J6" s="10" t="s">
        <v>23</v>
      </c>
      <c r="K6" s="9" t="s">
        <v>24</v>
      </c>
      <c r="L6" s="9" t="s">
        <v>25</v>
      </c>
      <c r="N6" s="10" t="s">
        <v>23</v>
      </c>
      <c r="O6" s="9" t="s">
        <v>26</v>
      </c>
      <c r="P6" s="9" t="s">
        <v>27</v>
      </c>
      <c r="R6" s="10" t="s">
        <v>23</v>
      </c>
      <c r="S6" s="9" t="s">
        <v>25</v>
      </c>
      <c r="T6" s="9" t="s">
        <v>27</v>
      </c>
    </row>
    <row r="7" spans="1:20" ht="15.75">
      <c r="A7" s="1">
        <v>44440</v>
      </c>
      <c r="B7" s="3">
        <v>52080</v>
      </c>
      <c r="C7" s="3">
        <v>1470623</v>
      </c>
      <c r="D7" s="3">
        <v>1231490</v>
      </c>
      <c r="E7" s="3">
        <v>8730</v>
      </c>
      <c r="F7" s="3">
        <v>2306</v>
      </c>
      <c r="G7" s="4">
        <v>620353.1772113333</v>
      </c>
      <c r="J7" s="7">
        <v>44287</v>
      </c>
      <c r="K7" s="8">
        <f>F2</f>
        <v>2190</v>
      </c>
      <c r="L7" s="11" t="s">
        <v>28</v>
      </c>
      <c r="N7" s="7">
        <v>44287</v>
      </c>
      <c r="O7" s="8">
        <f>B2</f>
        <v>52888</v>
      </c>
      <c r="P7" t="s">
        <v>28</v>
      </c>
      <c r="R7" s="7">
        <v>44287</v>
      </c>
      <c r="S7" s="11" t="str">
        <f>L7</f>
        <v>N/A</v>
      </c>
      <c r="T7" s="11" t="str">
        <f>P7</f>
        <v>N/A</v>
      </c>
    </row>
    <row r="8" spans="1:20" ht="15.75">
      <c r="A8" s="1">
        <v>44470</v>
      </c>
      <c r="B8" s="3">
        <v>56637</v>
      </c>
      <c r="C8" s="3">
        <v>1380065</v>
      </c>
      <c r="D8" s="3">
        <v>1147967</v>
      </c>
      <c r="E8" s="3">
        <v>8378</v>
      </c>
      <c r="F8" s="3">
        <v>2057</v>
      </c>
      <c r="G8" s="4">
        <v>547077.52412666671</v>
      </c>
      <c r="J8" s="7">
        <v>44317</v>
      </c>
      <c r="K8" s="8">
        <f>F3</f>
        <v>2326</v>
      </c>
      <c r="L8" s="11">
        <f>((K8-K7)/K7)*100</f>
        <v>6.2100456621004563</v>
      </c>
      <c r="N8" s="7">
        <v>44317</v>
      </c>
      <c r="O8" s="8">
        <f t="shared" ref="O8:O19" si="0">B3</f>
        <v>60500</v>
      </c>
      <c r="P8" s="11">
        <f>((O8-O7)/O7)*100</f>
        <v>14.392678868552414</v>
      </c>
      <c r="R8" s="7">
        <v>44317</v>
      </c>
      <c r="S8" s="11">
        <f t="shared" ref="S8:S19" si="1">L8</f>
        <v>6.2100456621004563</v>
      </c>
      <c r="T8" s="11">
        <f t="shared" ref="T8:T19" si="2">P8</f>
        <v>14.392678868552414</v>
      </c>
    </row>
    <row r="9" spans="1:20" ht="15.75">
      <c r="A9" s="1">
        <v>44501</v>
      </c>
      <c r="B9" s="3">
        <v>51366</v>
      </c>
      <c r="C9" s="3">
        <v>1384710</v>
      </c>
      <c r="D9" s="3">
        <v>1132634</v>
      </c>
      <c r="E9" s="3">
        <v>7855</v>
      </c>
      <c r="F9" s="3">
        <v>2030</v>
      </c>
      <c r="G9" s="4">
        <v>552239.6281193333</v>
      </c>
      <c r="J9" s="7">
        <v>44348</v>
      </c>
      <c r="K9" s="8">
        <f>F4</f>
        <v>2310</v>
      </c>
      <c r="L9" s="11">
        <f t="shared" ref="L9:L19" si="3">((K9-K8)/K8)*100</f>
        <v>-0.68787618228718828</v>
      </c>
      <c r="N9" s="7">
        <v>44348</v>
      </c>
      <c r="O9" s="8">
        <f t="shared" si="0"/>
        <v>56658</v>
      </c>
      <c r="P9" s="11">
        <f t="shared" ref="P9:P19" si="4">((O9-O8)/O8)*100</f>
        <v>-6.3504132231404959</v>
      </c>
      <c r="R9" s="7">
        <v>44348</v>
      </c>
      <c r="S9" s="11">
        <f t="shared" si="1"/>
        <v>-0.68787618228718828</v>
      </c>
      <c r="T9" s="11">
        <f t="shared" si="2"/>
        <v>-6.3504132231404959</v>
      </c>
    </row>
    <row r="10" spans="1:20" ht="15.75">
      <c r="A10" s="1">
        <v>44531</v>
      </c>
      <c r="B10" s="3">
        <v>32338</v>
      </c>
      <c r="C10" s="3">
        <v>1156736</v>
      </c>
      <c r="D10" s="3">
        <v>949588</v>
      </c>
      <c r="E10" s="3">
        <v>7645</v>
      </c>
      <c r="F10" s="3">
        <v>1906</v>
      </c>
      <c r="G10" s="4">
        <v>573339.02338533336</v>
      </c>
      <c r="J10" s="7">
        <v>44378</v>
      </c>
      <c r="K10" s="8">
        <f>F5</f>
        <v>2374</v>
      </c>
      <c r="L10" s="11">
        <f t="shared" si="3"/>
        <v>2.7705627705627704</v>
      </c>
      <c r="N10" s="7">
        <v>44378</v>
      </c>
      <c r="O10" s="8">
        <f t="shared" si="0"/>
        <v>56490</v>
      </c>
      <c r="P10" s="11">
        <f t="shared" si="4"/>
        <v>-0.29651593773165308</v>
      </c>
      <c r="R10" s="7">
        <v>44378</v>
      </c>
      <c r="S10" s="11">
        <f t="shared" si="1"/>
        <v>2.7705627705627704</v>
      </c>
      <c r="T10" s="11">
        <f t="shared" si="2"/>
        <v>-0.29651593773165308</v>
      </c>
    </row>
    <row r="11" spans="1:20" ht="15.75">
      <c r="A11" s="1">
        <v>44562</v>
      </c>
      <c r="B11" s="3">
        <v>54940</v>
      </c>
      <c r="C11" s="3">
        <v>1571792</v>
      </c>
      <c r="D11" s="3">
        <v>1333751</v>
      </c>
      <c r="E11" s="3">
        <v>12368</v>
      </c>
      <c r="F11" s="3">
        <v>2769</v>
      </c>
      <c r="G11" s="4">
        <v>899200.07186200004</v>
      </c>
      <c r="J11" s="7">
        <v>44409</v>
      </c>
      <c r="K11" s="8">
        <f>F6</f>
        <v>2488</v>
      </c>
      <c r="L11" s="11">
        <f t="shared" si="3"/>
        <v>4.8020219039595622</v>
      </c>
      <c r="N11" s="7">
        <v>44409</v>
      </c>
      <c r="O11" s="8">
        <f t="shared" si="0"/>
        <v>60082</v>
      </c>
      <c r="P11" s="11">
        <f t="shared" si="4"/>
        <v>6.3586475482386255</v>
      </c>
      <c r="R11" s="7">
        <v>44409</v>
      </c>
      <c r="S11" s="11">
        <f t="shared" si="1"/>
        <v>4.8020219039595622</v>
      </c>
      <c r="T11" s="11">
        <f t="shared" si="2"/>
        <v>6.3586475482386255</v>
      </c>
    </row>
    <row r="12" spans="1:20" ht="15.75">
      <c r="A12" s="1">
        <v>44593</v>
      </c>
      <c r="B12" s="3">
        <v>49571</v>
      </c>
      <c r="C12" s="3">
        <v>1500872</v>
      </c>
      <c r="D12" s="3">
        <v>1244169</v>
      </c>
      <c r="E12" s="3">
        <v>11118</v>
      </c>
      <c r="F12" s="3">
        <v>2574</v>
      </c>
      <c r="G12" s="4">
        <v>821752.86516799999</v>
      </c>
      <c r="J12" s="7">
        <v>44440</v>
      </c>
      <c r="K12" s="8">
        <f>F7</f>
        <v>2306</v>
      </c>
      <c r="L12" s="11">
        <f t="shared" si="3"/>
        <v>-7.3151125401929269</v>
      </c>
      <c r="N12" s="7">
        <v>44440</v>
      </c>
      <c r="O12" s="8">
        <f t="shared" si="0"/>
        <v>52080</v>
      </c>
      <c r="P12" s="11">
        <f t="shared" si="4"/>
        <v>-13.31846476482141</v>
      </c>
      <c r="R12" s="7">
        <v>44440</v>
      </c>
      <c r="S12" s="11">
        <f t="shared" si="1"/>
        <v>-7.3151125401929269</v>
      </c>
      <c r="T12" s="11">
        <f t="shared" si="2"/>
        <v>-13.31846476482141</v>
      </c>
    </row>
    <row r="13" spans="1:20" ht="15.75">
      <c r="A13" s="1">
        <v>44621</v>
      </c>
      <c r="B13" s="3">
        <v>58036</v>
      </c>
      <c r="C13" s="3">
        <v>1603261</v>
      </c>
      <c r="D13" s="3">
        <v>1376502</v>
      </c>
      <c r="E13" s="3">
        <v>11758</v>
      </c>
      <c r="F13" s="3">
        <v>2934</v>
      </c>
      <c r="G13" s="4">
        <v>942214.74516666669</v>
      </c>
      <c r="J13" s="7">
        <v>44470</v>
      </c>
      <c r="K13" s="8">
        <f>F8</f>
        <v>2057</v>
      </c>
      <c r="L13" s="11">
        <f t="shared" si="3"/>
        <v>-10.797918473547268</v>
      </c>
      <c r="N13" s="7">
        <v>44470</v>
      </c>
      <c r="O13" s="8">
        <f t="shared" si="0"/>
        <v>56637</v>
      </c>
      <c r="P13" s="11">
        <f t="shared" si="4"/>
        <v>8.75</v>
      </c>
      <c r="R13" s="7">
        <v>44470</v>
      </c>
      <c r="S13" s="11">
        <f t="shared" si="1"/>
        <v>-10.797918473547268</v>
      </c>
      <c r="T13" s="11">
        <f t="shared" si="2"/>
        <v>8.75</v>
      </c>
    </row>
    <row r="14" spans="1:20" ht="15.75">
      <c r="A14" s="1">
        <v>44652</v>
      </c>
      <c r="B14" s="3">
        <v>48602</v>
      </c>
      <c r="C14" s="3">
        <v>1501622</v>
      </c>
      <c r="D14" s="3">
        <v>1242901</v>
      </c>
      <c r="E14" s="3">
        <v>11759</v>
      </c>
      <c r="F14" s="3">
        <v>2686</v>
      </c>
      <c r="G14" s="4">
        <v>973711.53796266671</v>
      </c>
      <c r="J14" s="7">
        <v>44501</v>
      </c>
      <c r="K14" s="8">
        <f>F9</f>
        <v>2030</v>
      </c>
      <c r="L14" s="11">
        <f t="shared" si="3"/>
        <v>-1.3125911521633447</v>
      </c>
      <c r="N14" s="7">
        <v>44501</v>
      </c>
      <c r="O14" s="8">
        <f t="shared" si="0"/>
        <v>51366</v>
      </c>
      <c r="P14" s="11">
        <f t="shared" si="4"/>
        <v>-9.3066370040786062</v>
      </c>
      <c r="R14" s="7">
        <v>44501</v>
      </c>
      <c r="S14" s="11">
        <f t="shared" si="1"/>
        <v>-1.3125911521633447</v>
      </c>
      <c r="T14" s="11">
        <f t="shared" si="2"/>
        <v>-9.3066370040786062</v>
      </c>
    </row>
    <row r="15" spans="1:20" ht="15.75">
      <c r="J15" s="7">
        <v>44531</v>
      </c>
      <c r="K15" s="8">
        <f>F10</f>
        <v>1906</v>
      </c>
      <c r="L15" s="11">
        <f t="shared" si="3"/>
        <v>-6.1083743842364537</v>
      </c>
      <c r="N15" s="7">
        <v>44531</v>
      </c>
      <c r="O15" s="8">
        <f t="shared" si="0"/>
        <v>32338</v>
      </c>
      <c r="P15" s="11">
        <f t="shared" si="4"/>
        <v>-37.043959039053071</v>
      </c>
      <c r="R15" s="7">
        <v>44531</v>
      </c>
      <c r="S15" s="11">
        <f t="shared" si="1"/>
        <v>-6.1083743842364537</v>
      </c>
      <c r="T15" s="11">
        <f t="shared" si="2"/>
        <v>-37.043959039053071</v>
      </c>
    </row>
    <row r="16" spans="1:20" ht="15.75">
      <c r="J16" s="7">
        <v>44562</v>
      </c>
      <c r="K16" s="8">
        <f>F11</f>
        <v>2769</v>
      </c>
      <c r="L16" s="11">
        <f t="shared" si="3"/>
        <v>45.27806925498426</v>
      </c>
      <c r="N16" s="7">
        <v>44562</v>
      </c>
      <c r="O16" s="8">
        <f t="shared" si="0"/>
        <v>54940</v>
      </c>
      <c r="P16" s="11">
        <f t="shared" si="4"/>
        <v>69.893005133279729</v>
      </c>
      <c r="R16" s="7">
        <v>44562</v>
      </c>
      <c r="S16" s="11">
        <f t="shared" si="1"/>
        <v>45.27806925498426</v>
      </c>
      <c r="T16" s="11">
        <f t="shared" si="2"/>
        <v>69.893005133279729</v>
      </c>
    </row>
    <row r="17" spans="6:20" ht="15.75">
      <c r="J17" s="7">
        <v>44593</v>
      </c>
      <c r="K17" s="8">
        <f>F12</f>
        <v>2574</v>
      </c>
      <c r="L17" s="11">
        <f t="shared" si="3"/>
        <v>-7.042253521126761</v>
      </c>
      <c r="N17" s="7">
        <v>44593</v>
      </c>
      <c r="O17" s="8">
        <f>B12</f>
        <v>49571</v>
      </c>
      <c r="P17" s="11">
        <f t="shared" si="4"/>
        <v>-9.7724790680742633</v>
      </c>
      <c r="R17" s="7">
        <v>44593</v>
      </c>
      <c r="S17" s="11">
        <f t="shared" si="1"/>
        <v>-7.042253521126761</v>
      </c>
      <c r="T17" s="11">
        <f t="shared" si="2"/>
        <v>-9.7724790680742633</v>
      </c>
    </row>
    <row r="18" spans="6:20" ht="15.75">
      <c r="J18" s="7">
        <v>44621</v>
      </c>
      <c r="K18" s="8">
        <f>F13</f>
        <v>2934</v>
      </c>
      <c r="L18" s="11">
        <f t="shared" si="3"/>
        <v>13.986013986013987</v>
      </c>
      <c r="N18" s="7">
        <v>44621</v>
      </c>
      <c r="O18" s="8">
        <f>B13</f>
        <v>58036</v>
      </c>
      <c r="P18" s="11">
        <f t="shared" si="4"/>
        <v>17.076516511670128</v>
      </c>
      <c r="R18" s="7">
        <v>44621</v>
      </c>
      <c r="S18" s="11">
        <f t="shared" si="1"/>
        <v>13.986013986013987</v>
      </c>
      <c r="T18" s="11">
        <f t="shared" si="2"/>
        <v>17.076516511670128</v>
      </c>
    </row>
    <row r="19" spans="6:20" ht="15.75">
      <c r="F19" s="6"/>
      <c r="J19" s="7">
        <v>44652</v>
      </c>
      <c r="K19" s="8">
        <f>F14</f>
        <v>2686</v>
      </c>
      <c r="L19" s="11">
        <f t="shared" si="3"/>
        <v>-8.4526244035446485</v>
      </c>
      <c r="N19" s="7">
        <v>44652</v>
      </c>
      <c r="O19" s="8">
        <f>B14</f>
        <v>48602</v>
      </c>
      <c r="P19" s="11">
        <f t="shared" si="4"/>
        <v>-16.255427665586879</v>
      </c>
      <c r="R19" s="7">
        <v>44652</v>
      </c>
      <c r="S19" s="11">
        <f t="shared" si="1"/>
        <v>-8.4526244035446485</v>
      </c>
      <c r="T19" s="11">
        <f t="shared" si="2"/>
        <v>-16.255427665586879</v>
      </c>
    </row>
    <row r="20" spans="6:20" ht="15.75">
      <c r="F20" s="6"/>
      <c r="L20" s="12" t="s">
        <v>29</v>
      </c>
      <c r="P20" s="14" t="s">
        <v>29</v>
      </c>
    </row>
    <row r="21" spans="6:20">
      <c r="L21" s="13">
        <f>((K19-K7)/K7)*100</f>
        <v>22.648401826484019</v>
      </c>
      <c r="P21" s="13">
        <f>((O19-O7)/O7)*100</f>
        <v>-8.1039177129027369</v>
      </c>
    </row>
    <row r="24" spans="6:20">
      <c r="J24" s="10" t="s">
        <v>23</v>
      </c>
      <c r="K24" s="9" t="s">
        <v>30</v>
      </c>
      <c r="L24" s="9" t="s">
        <v>24</v>
      </c>
      <c r="M24" s="9" t="s">
        <v>31</v>
      </c>
    </row>
    <row r="25" spans="6:20">
      <c r="J25" s="7">
        <v>44287</v>
      </c>
      <c r="K25">
        <f>B2</f>
        <v>52888</v>
      </c>
      <c r="L25">
        <f>F2</f>
        <v>2190</v>
      </c>
    </row>
    <row r="26" spans="6:20">
      <c r="J26" s="7">
        <v>44317</v>
      </c>
      <c r="K26">
        <f t="shared" ref="K26:K37" si="5">B3</f>
        <v>60500</v>
      </c>
      <c r="L26">
        <f t="shared" ref="L26:L37" si="6">F3</f>
        <v>2326</v>
      </c>
    </row>
    <row r="27" spans="6:20">
      <c r="J27" s="7">
        <v>44348</v>
      </c>
      <c r="K27">
        <f t="shared" si="5"/>
        <v>56658</v>
      </c>
      <c r="L27">
        <f t="shared" si="6"/>
        <v>2310</v>
      </c>
    </row>
    <row r="28" spans="6:20">
      <c r="J28" s="7">
        <v>44378</v>
      </c>
      <c r="K28">
        <f t="shared" si="5"/>
        <v>56490</v>
      </c>
      <c r="L28">
        <f t="shared" si="6"/>
        <v>2374</v>
      </c>
    </row>
    <row r="29" spans="6:20">
      <c r="J29" s="7">
        <v>44409</v>
      </c>
      <c r="K29">
        <f t="shared" si="5"/>
        <v>60082</v>
      </c>
      <c r="L29">
        <f t="shared" si="6"/>
        <v>2488</v>
      </c>
    </row>
    <row r="30" spans="6:20">
      <c r="J30" s="7">
        <v>44440</v>
      </c>
      <c r="K30">
        <f t="shared" si="5"/>
        <v>52080</v>
      </c>
      <c r="L30">
        <f t="shared" si="6"/>
        <v>2306</v>
      </c>
    </row>
    <row r="31" spans="6:20">
      <c r="J31" s="7">
        <v>44470</v>
      </c>
      <c r="K31">
        <f t="shared" si="5"/>
        <v>56637</v>
      </c>
      <c r="L31">
        <f t="shared" si="6"/>
        <v>2057</v>
      </c>
    </row>
    <row r="32" spans="6:20">
      <c r="J32" s="7">
        <v>44501</v>
      </c>
      <c r="K32">
        <f t="shared" si="5"/>
        <v>51366</v>
      </c>
      <c r="L32">
        <f t="shared" si="6"/>
        <v>2030</v>
      </c>
    </row>
    <row r="33" spans="2:12">
      <c r="J33" s="7">
        <v>44531</v>
      </c>
      <c r="K33">
        <f t="shared" si="5"/>
        <v>32338</v>
      </c>
      <c r="L33">
        <f t="shared" si="6"/>
        <v>1906</v>
      </c>
    </row>
    <row r="34" spans="2:12">
      <c r="J34" s="7">
        <v>44562</v>
      </c>
      <c r="K34">
        <f t="shared" si="5"/>
        <v>54940</v>
      </c>
      <c r="L34">
        <f t="shared" si="6"/>
        <v>2769</v>
      </c>
    </row>
    <row r="35" spans="2:12">
      <c r="J35" s="7">
        <v>44593</v>
      </c>
      <c r="K35">
        <f t="shared" si="5"/>
        <v>49571</v>
      </c>
      <c r="L35">
        <f t="shared" si="6"/>
        <v>2574</v>
      </c>
    </row>
    <row r="36" spans="2:12">
      <c r="J36" s="7">
        <v>44621</v>
      </c>
      <c r="K36">
        <f t="shared" si="5"/>
        <v>58036</v>
      </c>
      <c r="L36">
        <f t="shared" si="6"/>
        <v>2934</v>
      </c>
    </row>
    <row r="37" spans="2:12">
      <c r="J37" s="7">
        <v>44652</v>
      </c>
      <c r="K37">
        <f t="shared" si="5"/>
        <v>48602</v>
      </c>
      <c r="L37">
        <f t="shared" si="6"/>
        <v>2686</v>
      </c>
    </row>
    <row r="47" spans="2:12">
      <c r="B47" t="s">
        <v>32</v>
      </c>
    </row>
    <row r="63" ht="15.75"/>
    <row r="64" ht="15.75"/>
    <row r="65" spans="2:6" ht="15.75">
      <c r="B65" t="s">
        <v>33</v>
      </c>
      <c r="F65" s="9" t="s">
        <v>34</v>
      </c>
    </row>
    <row r="66" spans="2:6" ht="15.75">
      <c r="B66" s="9" t="s">
        <v>35</v>
      </c>
      <c r="F66" s="11">
        <f>((O12-O7)/O7)*100</f>
        <v>-1.5277567690213281</v>
      </c>
    </row>
    <row r="67" spans="2:6">
      <c r="B67" s="11">
        <f>((K12-K7)/K7)*100</f>
        <v>5.2968036529680367</v>
      </c>
    </row>
  </sheetData>
  <mergeCells count="3">
    <mergeCell ref="J4:L5"/>
    <mergeCell ref="N4:P5"/>
    <mergeCell ref="R4:T5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6D2F2-3A72-48E1-BE07-2BFF003F4DA5}">
  <dimension ref="B2:B10"/>
  <sheetViews>
    <sheetView workbookViewId="0">
      <selection activeCell="G2" sqref="B2:G2"/>
    </sheetView>
  </sheetViews>
  <sheetFormatPr defaultRowHeight="15.6"/>
  <cols>
    <col min="2" max="2" width="39.625" customWidth="1"/>
    <col min="3" max="4" width="10.25" bestFit="1" customWidth="1"/>
    <col min="5" max="5" width="12.25" bestFit="1" customWidth="1"/>
  </cols>
  <sheetData>
    <row r="2" spans="2:2">
      <c r="B2" s="5" t="s">
        <v>36</v>
      </c>
    </row>
    <row r="4" spans="2:2">
      <c r="B4" s="5" t="s">
        <v>37</v>
      </c>
    </row>
    <row r="6" spans="2:2">
      <c r="B6" s="5" t="s">
        <v>38</v>
      </c>
    </row>
    <row r="8" spans="2:2">
      <c r="B8" s="5" t="s">
        <v>39</v>
      </c>
    </row>
    <row r="10" spans="2:2">
      <c r="B10" s="5" t="s">
        <v>40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C8D3D-C0C0-486F-B7A7-22A05BA32268}">
  <dimension ref="A1:T67"/>
  <sheetViews>
    <sheetView topLeftCell="A34" workbookViewId="0">
      <selection activeCell="P57" sqref="P57"/>
    </sheetView>
  </sheetViews>
  <sheetFormatPr defaultRowHeight="15.75"/>
  <cols>
    <col min="1" max="1" width="8.625" customWidth="1"/>
    <col min="2" max="2" width="28.5" bestFit="1" customWidth="1"/>
    <col min="3" max="3" width="10.25" bestFit="1" customWidth="1"/>
    <col min="4" max="4" width="15.75" bestFit="1" customWidth="1"/>
    <col min="6" max="6" width="26.5" bestFit="1" customWidth="1"/>
    <col min="7" max="7" width="15.375" bestFit="1" customWidth="1"/>
    <col min="10" max="10" width="7" bestFit="1" customWidth="1"/>
    <col min="11" max="11" width="16.625" bestFit="1" customWidth="1"/>
    <col min="12" max="12" width="19.125" bestFit="1" customWidth="1"/>
    <col min="13" max="13" width="11.75" bestFit="1" customWidth="1"/>
    <col min="14" max="14" width="7" bestFit="1" customWidth="1"/>
    <col min="15" max="15" width="15.5" bestFit="1" customWidth="1"/>
    <col min="16" max="16" width="17" bestFit="1" customWidth="1"/>
    <col min="19" max="19" width="19.125" bestFit="1" customWidth="1"/>
    <col min="20" max="20" width="17" bestFit="1" customWidth="1"/>
  </cols>
  <sheetData>
    <row r="1" spans="1:20">
      <c r="A1" s="2" t="s">
        <v>16</v>
      </c>
      <c r="B1" s="2" t="s">
        <v>2</v>
      </c>
      <c r="C1" s="2" t="s">
        <v>17</v>
      </c>
      <c r="D1" s="2" t="s">
        <v>18</v>
      </c>
      <c r="E1" s="2" t="s">
        <v>19</v>
      </c>
      <c r="F1" s="2" t="s">
        <v>10</v>
      </c>
      <c r="G1" s="2" t="s">
        <v>12</v>
      </c>
    </row>
    <row r="2" spans="1:20" ht="15.6" customHeight="1">
      <c r="A2" s="1">
        <v>44287</v>
      </c>
      <c r="B2" s="3">
        <v>52888</v>
      </c>
      <c r="C2" s="3">
        <v>1038285</v>
      </c>
      <c r="D2" s="3">
        <v>860141</v>
      </c>
      <c r="E2" s="3">
        <v>7392</v>
      </c>
      <c r="F2" s="3">
        <v>2190</v>
      </c>
      <c r="G2" s="4">
        <v>250407.38855399998</v>
      </c>
    </row>
    <row r="3" spans="1:20" ht="15.6" customHeight="1">
      <c r="A3" s="1">
        <v>44317</v>
      </c>
      <c r="B3" s="3">
        <v>60500</v>
      </c>
      <c r="C3" s="3">
        <v>1043004</v>
      </c>
      <c r="D3" s="3">
        <v>865406</v>
      </c>
      <c r="E3" s="3">
        <v>8075</v>
      </c>
      <c r="F3" s="3">
        <v>2326</v>
      </c>
      <c r="G3" s="4">
        <v>336276.04296333337</v>
      </c>
    </row>
    <row r="4" spans="1:20">
      <c r="A4" s="1">
        <v>44348</v>
      </c>
      <c r="B4" s="3">
        <v>56658</v>
      </c>
      <c r="C4" s="3">
        <v>995580</v>
      </c>
      <c r="D4" s="3">
        <v>813582</v>
      </c>
      <c r="E4" s="3">
        <v>9273</v>
      </c>
      <c r="F4" s="3">
        <v>2310</v>
      </c>
      <c r="G4" s="4">
        <v>381262.38719599997</v>
      </c>
      <c r="J4" s="27" t="s">
        <v>20</v>
      </c>
      <c r="K4" s="27"/>
      <c r="L4" s="27"/>
      <c r="N4" s="29" t="s">
        <v>21</v>
      </c>
      <c r="O4" s="29"/>
      <c r="P4" s="29"/>
      <c r="R4" s="31" t="s">
        <v>22</v>
      </c>
      <c r="S4" s="31"/>
      <c r="T4" s="31"/>
    </row>
    <row r="5" spans="1:20">
      <c r="A5" s="1">
        <v>44378</v>
      </c>
      <c r="B5" s="3">
        <v>56490</v>
      </c>
      <c r="C5" s="3">
        <v>1084718</v>
      </c>
      <c r="D5" s="3">
        <v>892546</v>
      </c>
      <c r="E5" s="3">
        <v>7489</v>
      </c>
      <c r="F5" s="3">
        <v>2374</v>
      </c>
      <c r="G5" s="4">
        <v>439727.66515333328</v>
      </c>
      <c r="J5" s="28"/>
      <c r="K5" s="28"/>
      <c r="L5" s="28"/>
      <c r="N5" s="30"/>
      <c r="O5" s="30"/>
      <c r="P5" s="30"/>
      <c r="R5" s="31"/>
      <c r="S5" s="31"/>
      <c r="T5" s="31"/>
    </row>
    <row r="6" spans="1:20">
      <c r="A6" s="1">
        <v>44409</v>
      </c>
      <c r="B6" s="3">
        <v>60082</v>
      </c>
      <c r="C6" s="3">
        <v>1419330</v>
      </c>
      <c r="D6" s="3">
        <v>1195234</v>
      </c>
      <c r="E6" s="3">
        <v>8921</v>
      </c>
      <c r="F6" s="3">
        <v>2488</v>
      </c>
      <c r="G6" s="4">
        <v>724186.37303333322</v>
      </c>
      <c r="J6" s="10" t="s">
        <v>23</v>
      </c>
      <c r="K6" s="9" t="s">
        <v>24</v>
      </c>
      <c r="L6" s="9" t="s">
        <v>25</v>
      </c>
      <c r="N6" s="10" t="s">
        <v>23</v>
      </c>
      <c r="O6" s="9" t="s">
        <v>26</v>
      </c>
      <c r="P6" s="9" t="s">
        <v>27</v>
      </c>
      <c r="R6" s="10" t="s">
        <v>23</v>
      </c>
      <c r="S6" s="9" t="s">
        <v>25</v>
      </c>
      <c r="T6" s="9" t="s">
        <v>27</v>
      </c>
    </row>
    <row r="7" spans="1:20">
      <c r="A7" s="1">
        <v>44440</v>
      </c>
      <c r="B7" s="3">
        <v>52080</v>
      </c>
      <c r="C7" s="3">
        <v>1470623</v>
      </c>
      <c r="D7" s="3">
        <v>1231490</v>
      </c>
      <c r="E7" s="3">
        <v>8730</v>
      </c>
      <c r="F7" s="3">
        <v>2306</v>
      </c>
      <c r="G7" s="4">
        <v>620353.1772113333</v>
      </c>
      <c r="J7" s="7">
        <v>44287</v>
      </c>
      <c r="K7" s="8">
        <f>F2</f>
        <v>2190</v>
      </c>
      <c r="L7" s="11" t="s">
        <v>28</v>
      </c>
      <c r="N7" s="7">
        <v>44287</v>
      </c>
      <c r="O7" s="8">
        <f>B2</f>
        <v>52888</v>
      </c>
      <c r="P7" t="s">
        <v>28</v>
      </c>
      <c r="R7" s="7">
        <v>44287</v>
      </c>
      <c r="S7" s="11" t="str">
        <f>L7</f>
        <v>N/A</v>
      </c>
      <c r="T7" s="11" t="str">
        <f>P7</f>
        <v>N/A</v>
      </c>
    </row>
    <row r="8" spans="1:20">
      <c r="A8" s="1">
        <v>44470</v>
      </c>
      <c r="B8" s="3">
        <v>56637</v>
      </c>
      <c r="C8" s="3">
        <v>1380065</v>
      </c>
      <c r="D8" s="3">
        <v>1147967</v>
      </c>
      <c r="E8" s="3">
        <v>8378</v>
      </c>
      <c r="F8" s="3">
        <v>2057</v>
      </c>
      <c r="G8" s="4">
        <v>547077.52412666671</v>
      </c>
      <c r="J8" s="7">
        <v>44317</v>
      </c>
      <c r="K8" s="8">
        <f>F3</f>
        <v>2326</v>
      </c>
      <c r="L8" s="11">
        <f>((K8-K7)/K7)*100</f>
        <v>6.2100456621004563</v>
      </c>
      <c r="N8" s="7">
        <v>44317</v>
      </c>
      <c r="O8" s="8">
        <f t="shared" ref="O8:O16" si="0">B3</f>
        <v>60500</v>
      </c>
      <c r="P8" s="11">
        <f>((O8-O7)/O7)*100</f>
        <v>14.392678868552414</v>
      </c>
      <c r="R8" s="7">
        <v>44317</v>
      </c>
      <c r="S8" s="11">
        <f t="shared" ref="S8:S19" si="1">L8</f>
        <v>6.2100456621004563</v>
      </c>
      <c r="T8" s="11">
        <f t="shared" ref="T8:T19" si="2">P8</f>
        <v>14.392678868552414</v>
      </c>
    </row>
    <row r="9" spans="1:20">
      <c r="A9" s="1">
        <v>44501</v>
      </c>
      <c r="B9" s="3">
        <v>51366</v>
      </c>
      <c r="C9" s="3">
        <v>1384710</v>
      </c>
      <c r="D9" s="3">
        <v>1132634</v>
      </c>
      <c r="E9" s="3">
        <v>7855</v>
      </c>
      <c r="F9" s="3">
        <v>2030</v>
      </c>
      <c r="G9" s="4">
        <v>552239.6281193333</v>
      </c>
      <c r="J9" s="7">
        <v>44348</v>
      </c>
      <c r="K9" s="8">
        <f>F4</f>
        <v>2310</v>
      </c>
      <c r="L9" s="11">
        <f t="shared" ref="L9:L19" si="3">((K9-K8)/K8)*100</f>
        <v>-0.68787618228718828</v>
      </c>
      <c r="N9" s="7">
        <v>44348</v>
      </c>
      <c r="O9" s="8">
        <f t="shared" si="0"/>
        <v>56658</v>
      </c>
      <c r="P9" s="11">
        <f t="shared" ref="P9:P19" si="4">((O9-O8)/O8)*100</f>
        <v>-6.3504132231404959</v>
      </c>
      <c r="R9" s="7">
        <v>44348</v>
      </c>
      <c r="S9" s="11">
        <f t="shared" si="1"/>
        <v>-0.68787618228718828</v>
      </c>
      <c r="T9" s="11">
        <f t="shared" si="2"/>
        <v>-6.3504132231404959</v>
      </c>
    </row>
    <row r="10" spans="1:20">
      <c r="A10" s="1">
        <v>44531</v>
      </c>
      <c r="B10" s="3">
        <v>32338</v>
      </c>
      <c r="C10" s="3">
        <v>1156736</v>
      </c>
      <c r="D10" s="3">
        <v>949588</v>
      </c>
      <c r="E10" s="3">
        <v>7645</v>
      </c>
      <c r="F10" s="3">
        <v>1906</v>
      </c>
      <c r="G10" s="4">
        <v>573339.02338533336</v>
      </c>
      <c r="J10" s="7">
        <v>44378</v>
      </c>
      <c r="K10" s="8">
        <f>F5</f>
        <v>2374</v>
      </c>
      <c r="L10" s="11">
        <f t="shared" si="3"/>
        <v>2.7705627705627704</v>
      </c>
      <c r="N10" s="7">
        <v>44378</v>
      </c>
      <c r="O10" s="8">
        <f t="shared" si="0"/>
        <v>56490</v>
      </c>
      <c r="P10" s="11">
        <f t="shared" si="4"/>
        <v>-0.29651593773165308</v>
      </c>
      <c r="R10" s="7">
        <v>44378</v>
      </c>
      <c r="S10" s="11">
        <f t="shared" si="1"/>
        <v>2.7705627705627704</v>
      </c>
      <c r="T10" s="11">
        <f t="shared" si="2"/>
        <v>-0.29651593773165308</v>
      </c>
    </row>
    <row r="11" spans="1:20">
      <c r="A11" s="1">
        <v>44562</v>
      </c>
      <c r="B11" s="3">
        <v>54940</v>
      </c>
      <c r="C11" s="3">
        <v>1571792</v>
      </c>
      <c r="D11" s="3">
        <v>1333751</v>
      </c>
      <c r="E11" s="3">
        <v>12368</v>
      </c>
      <c r="F11" s="3">
        <v>2769</v>
      </c>
      <c r="G11" s="4">
        <v>899200.07186200004</v>
      </c>
      <c r="J11" s="7">
        <v>44409</v>
      </c>
      <c r="K11" s="8">
        <f>F6</f>
        <v>2488</v>
      </c>
      <c r="L11" s="11">
        <f t="shared" si="3"/>
        <v>4.8020219039595622</v>
      </c>
      <c r="N11" s="7">
        <v>44409</v>
      </c>
      <c r="O11" s="8">
        <f t="shared" si="0"/>
        <v>60082</v>
      </c>
      <c r="P11" s="11">
        <f t="shared" si="4"/>
        <v>6.3586475482386255</v>
      </c>
      <c r="R11" s="7">
        <v>44409</v>
      </c>
      <c r="S11" s="11">
        <f t="shared" si="1"/>
        <v>4.8020219039595622</v>
      </c>
      <c r="T11" s="11">
        <f t="shared" si="2"/>
        <v>6.3586475482386255</v>
      </c>
    </row>
    <row r="12" spans="1:20">
      <c r="A12" s="1">
        <v>44593</v>
      </c>
      <c r="B12" s="3">
        <v>49571</v>
      </c>
      <c r="C12" s="3">
        <v>1500872</v>
      </c>
      <c r="D12" s="3">
        <v>1244169</v>
      </c>
      <c r="E12" s="3">
        <v>11118</v>
      </c>
      <c r="F12" s="3">
        <v>2574</v>
      </c>
      <c r="G12" s="4">
        <v>821752.86516799999</v>
      </c>
      <c r="J12" s="7">
        <v>44440</v>
      </c>
      <c r="K12" s="8">
        <f>F7</f>
        <v>2306</v>
      </c>
      <c r="L12" s="11">
        <f t="shared" si="3"/>
        <v>-7.3151125401929269</v>
      </c>
      <c r="N12" s="7">
        <v>44440</v>
      </c>
      <c r="O12" s="8">
        <f t="shared" si="0"/>
        <v>52080</v>
      </c>
      <c r="P12" s="11">
        <f t="shared" si="4"/>
        <v>-13.31846476482141</v>
      </c>
      <c r="R12" s="7">
        <v>44440</v>
      </c>
      <c r="S12" s="11">
        <f t="shared" si="1"/>
        <v>-7.3151125401929269</v>
      </c>
      <c r="T12" s="11">
        <f t="shared" si="2"/>
        <v>-13.31846476482141</v>
      </c>
    </row>
    <row r="13" spans="1:20">
      <c r="A13" s="1">
        <v>44621</v>
      </c>
      <c r="B13" s="3">
        <v>58036</v>
      </c>
      <c r="C13" s="3">
        <v>1603261</v>
      </c>
      <c r="D13" s="3">
        <v>1376502</v>
      </c>
      <c r="E13" s="3">
        <v>11758</v>
      </c>
      <c r="F13" s="3">
        <v>2934</v>
      </c>
      <c r="G13" s="4">
        <v>942214.74516666669</v>
      </c>
      <c r="J13" s="7">
        <v>44470</v>
      </c>
      <c r="K13" s="8">
        <f>F8</f>
        <v>2057</v>
      </c>
      <c r="L13" s="11">
        <f t="shared" si="3"/>
        <v>-10.797918473547268</v>
      </c>
      <c r="N13" s="7">
        <v>44470</v>
      </c>
      <c r="O13" s="8">
        <f t="shared" si="0"/>
        <v>56637</v>
      </c>
      <c r="P13" s="11">
        <f t="shared" si="4"/>
        <v>8.75</v>
      </c>
      <c r="R13" s="7">
        <v>44470</v>
      </c>
      <c r="S13" s="11">
        <f t="shared" si="1"/>
        <v>-10.797918473547268</v>
      </c>
      <c r="T13" s="11">
        <f t="shared" si="2"/>
        <v>8.75</v>
      </c>
    </row>
    <row r="14" spans="1:20">
      <c r="A14" s="1">
        <v>44652</v>
      </c>
      <c r="B14" s="3">
        <v>48602</v>
      </c>
      <c r="C14" s="3">
        <v>1501622</v>
      </c>
      <c r="D14" s="3">
        <v>1242901</v>
      </c>
      <c r="E14" s="3">
        <v>11759</v>
      </c>
      <c r="F14" s="3">
        <v>2686</v>
      </c>
      <c r="G14" s="4">
        <v>973711.53796266671</v>
      </c>
      <c r="J14" s="7">
        <v>44501</v>
      </c>
      <c r="K14" s="8">
        <f>F9</f>
        <v>2030</v>
      </c>
      <c r="L14" s="11">
        <f t="shared" si="3"/>
        <v>-1.3125911521633447</v>
      </c>
      <c r="N14" s="7">
        <v>44501</v>
      </c>
      <c r="O14" s="8">
        <f t="shared" si="0"/>
        <v>51366</v>
      </c>
      <c r="P14" s="11">
        <f t="shared" si="4"/>
        <v>-9.3066370040786062</v>
      </c>
      <c r="R14" s="7">
        <v>44501</v>
      </c>
      <c r="S14" s="11">
        <f t="shared" si="1"/>
        <v>-1.3125911521633447</v>
      </c>
      <c r="T14" s="11">
        <f t="shared" si="2"/>
        <v>-9.3066370040786062</v>
      </c>
    </row>
    <row r="15" spans="1:20">
      <c r="J15" s="7">
        <v>44531</v>
      </c>
      <c r="K15" s="8">
        <f>F10</f>
        <v>1906</v>
      </c>
      <c r="L15" s="11">
        <f t="shared" si="3"/>
        <v>-6.1083743842364537</v>
      </c>
      <c r="N15" s="7">
        <v>44531</v>
      </c>
      <c r="O15" s="8">
        <f t="shared" si="0"/>
        <v>32338</v>
      </c>
      <c r="P15" s="11">
        <f t="shared" si="4"/>
        <v>-37.043959039053071</v>
      </c>
      <c r="R15" s="7">
        <v>44531</v>
      </c>
      <c r="S15" s="11">
        <f t="shared" si="1"/>
        <v>-6.1083743842364537</v>
      </c>
      <c r="T15" s="11">
        <f t="shared" si="2"/>
        <v>-37.043959039053071</v>
      </c>
    </row>
    <row r="16" spans="1:20">
      <c r="J16" s="7">
        <v>44562</v>
      </c>
      <c r="K16" s="8">
        <f>F11</f>
        <v>2769</v>
      </c>
      <c r="L16" s="11">
        <f t="shared" si="3"/>
        <v>45.27806925498426</v>
      </c>
      <c r="N16" s="7">
        <v>44562</v>
      </c>
      <c r="O16" s="8">
        <f t="shared" si="0"/>
        <v>54940</v>
      </c>
      <c r="P16" s="11">
        <f t="shared" si="4"/>
        <v>69.893005133279729</v>
      </c>
      <c r="R16" s="7">
        <v>44562</v>
      </c>
      <c r="S16" s="11">
        <f t="shared" si="1"/>
        <v>45.27806925498426</v>
      </c>
      <c r="T16" s="11">
        <f t="shared" si="2"/>
        <v>69.893005133279729</v>
      </c>
    </row>
    <row r="17" spans="6:20">
      <c r="J17" s="7">
        <v>44593</v>
      </c>
      <c r="K17" s="8">
        <f>F12</f>
        <v>2574</v>
      </c>
      <c r="L17" s="11">
        <f t="shared" si="3"/>
        <v>-7.042253521126761</v>
      </c>
      <c r="N17" s="7">
        <v>44593</v>
      </c>
      <c r="O17" s="8">
        <f>B12</f>
        <v>49571</v>
      </c>
      <c r="P17" s="11">
        <f t="shared" si="4"/>
        <v>-9.7724790680742633</v>
      </c>
      <c r="R17" s="7">
        <v>44593</v>
      </c>
      <c r="S17" s="11">
        <f t="shared" si="1"/>
        <v>-7.042253521126761</v>
      </c>
      <c r="T17" s="11">
        <f t="shared" si="2"/>
        <v>-9.7724790680742633</v>
      </c>
    </row>
    <row r="18" spans="6:20">
      <c r="J18" s="7">
        <v>44621</v>
      </c>
      <c r="K18" s="8">
        <f>F13</f>
        <v>2934</v>
      </c>
      <c r="L18" s="11">
        <f t="shared" si="3"/>
        <v>13.986013986013987</v>
      </c>
      <c r="N18" s="7">
        <v>44621</v>
      </c>
      <c r="O18" s="8">
        <f>B13</f>
        <v>58036</v>
      </c>
      <c r="P18" s="11">
        <f t="shared" si="4"/>
        <v>17.076516511670128</v>
      </c>
      <c r="R18" s="7">
        <v>44621</v>
      </c>
      <c r="S18" s="11">
        <f t="shared" si="1"/>
        <v>13.986013986013987</v>
      </c>
      <c r="T18" s="11">
        <f t="shared" si="2"/>
        <v>17.076516511670128</v>
      </c>
    </row>
    <row r="19" spans="6:20">
      <c r="F19" s="6"/>
      <c r="J19" s="7">
        <v>44652</v>
      </c>
      <c r="K19" s="8">
        <f>F14</f>
        <v>2686</v>
      </c>
      <c r="L19" s="11">
        <f t="shared" si="3"/>
        <v>-8.4526244035446485</v>
      </c>
      <c r="N19" s="7">
        <v>44652</v>
      </c>
      <c r="O19" s="8">
        <f>B14</f>
        <v>48602</v>
      </c>
      <c r="P19" s="11">
        <f t="shared" si="4"/>
        <v>-16.255427665586879</v>
      </c>
      <c r="R19" s="7">
        <v>44652</v>
      </c>
      <c r="S19" s="11">
        <f t="shared" si="1"/>
        <v>-8.4526244035446485</v>
      </c>
      <c r="T19" s="11">
        <f t="shared" si="2"/>
        <v>-16.255427665586879</v>
      </c>
    </row>
    <row r="20" spans="6:20">
      <c r="F20" s="6"/>
      <c r="L20" s="12" t="s">
        <v>29</v>
      </c>
      <c r="P20" s="14" t="s">
        <v>29</v>
      </c>
    </row>
    <row r="21" spans="6:20" ht="15.6">
      <c r="L21" s="13">
        <f>((K19-K7)/K7)*100</f>
        <v>22.648401826484019</v>
      </c>
      <c r="P21" s="13">
        <f>((O19-O7)/O7)*100</f>
        <v>-8.1039177129027369</v>
      </c>
    </row>
    <row r="22" spans="6:20" ht="15.6"/>
    <row r="24" spans="6:20" ht="15.6">
      <c r="J24" s="10" t="s">
        <v>23</v>
      </c>
      <c r="K24" s="9" t="s">
        <v>30</v>
      </c>
      <c r="L24" s="9" t="s">
        <v>24</v>
      </c>
      <c r="M24" s="9" t="s">
        <v>31</v>
      </c>
    </row>
    <row r="25" spans="6:20" ht="15.6">
      <c r="J25" s="7">
        <v>44287</v>
      </c>
      <c r="K25">
        <f>B2</f>
        <v>52888</v>
      </c>
      <c r="L25">
        <f>F2</f>
        <v>2190</v>
      </c>
    </row>
    <row r="26" spans="6:20" ht="15.6">
      <c r="J26" s="7">
        <v>44317</v>
      </c>
      <c r="K26">
        <f t="shared" ref="K26:K37" si="5">B3</f>
        <v>60500</v>
      </c>
      <c r="L26">
        <f t="shared" ref="L26:L37" si="6">F3</f>
        <v>2326</v>
      </c>
    </row>
    <row r="27" spans="6:20" ht="15.6">
      <c r="J27" s="7">
        <v>44348</v>
      </c>
      <c r="K27">
        <f t="shared" si="5"/>
        <v>56658</v>
      </c>
      <c r="L27">
        <f t="shared" si="6"/>
        <v>2310</v>
      </c>
    </row>
    <row r="28" spans="6:20" ht="15.6">
      <c r="J28" s="7">
        <v>44378</v>
      </c>
      <c r="K28">
        <f t="shared" si="5"/>
        <v>56490</v>
      </c>
      <c r="L28">
        <f t="shared" si="6"/>
        <v>2374</v>
      </c>
    </row>
    <row r="29" spans="6:20" ht="15.6">
      <c r="J29" s="7">
        <v>44409</v>
      </c>
      <c r="K29">
        <f t="shared" si="5"/>
        <v>60082</v>
      </c>
      <c r="L29">
        <f t="shared" si="6"/>
        <v>2488</v>
      </c>
    </row>
    <row r="30" spans="6:20" ht="15.6">
      <c r="J30" s="7">
        <v>44440</v>
      </c>
      <c r="K30">
        <f t="shared" si="5"/>
        <v>52080</v>
      </c>
      <c r="L30">
        <f t="shared" si="6"/>
        <v>2306</v>
      </c>
    </row>
    <row r="31" spans="6:20" ht="15.6">
      <c r="J31" s="7">
        <v>44470</v>
      </c>
      <c r="K31">
        <f t="shared" si="5"/>
        <v>56637</v>
      </c>
      <c r="L31">
        <f t="shared" si="6"/>
        <v>2057</v>
      </c>
    </row>
    <row r="32" spans="6:20" ht="15.6">
      <c r="J32" s="7">
        <v>44501</v>
      </c>
      <c r="K32">
        <f t="shared" si="5"/>
        <v>51366</v>
      </c>
      <c r="L32">
        <f t="shared" si="6"/>
        <v>2030</v>
      </c>
    </row>
    <row r="33" spans="2:12" ht="15.6">
      <c r="J33" s="7">
        <v>44531</v>
      </c>
      <c r="K33">
        <f t="shared" si="5"/>
        <v>32338</v>
      </c>
      <c r="L33">
        <f t="shared" si="6"/>
        <v>1906</v>
      </c>
    </row>
    <row r="34" spans="2:12" ht="15.6">
      <c r="J34" s="7">
        <v>44562</v>
      </c>
      <c r="K34">
        <f t="shared" si="5"/>
        <v>54940</v>
      </c>
      <c r="L34">
        <f t="shared" si="6"/>
        <v>2769</v>
      </c>
    </row>
    <row r="35" spans="2:12" ht="15.6">
      <c r="J35" s="7">
        <v>44593</v>
      </c>
      <c r="K35">
        <f t="shared" si="5"/>
        <v>49571</v>
      </c>
      <c r="L35">
        <f t="shared" si="6"/>
        <v>2574</v>
      </c>
    </row>
    <row r="36" spans="2:12" ht="15.6">
      <c r="J36" s="7">
        <v>44621</v>
      </c>
      <c r="K36">
        <f t="shared" si="5"/>
        <v>58036</v>
      </c>
      <c r="L36">
        <f t="shared" si="6"/>
        <v>2934</v>
      </c>
    </row>
    <row r="37" spans="2:12" ht="15.6">
      <c r="J37" s="7">
        <v>44652</v>
      </c>
      <c r="K37">
        <f t="shared" si="5"/>
        <v>48602</v>
      </c>
      <c r="L37">
        <f t="shared" si="6"/>
        <v>2686</v>
      </c>
    </row>
    <row r="47" spans="2:12" ht="15.6">
      <c r="B47" t="s">
        <v>32</v>
      </c>
    </row>
    <row r="65" spans="2:6">
      <c r="B65" t="s">
        <v>33</v>
      </c>
      <c r="F65" s="9" t="s">
        <v>34</v>
      </c>
    </row>
    <row r="66" spans="2:6">
      <c r="B66" s="9" t="s">
        <v>35</v>
      </c>
      <c r="F66" s="11">
        <f>((O12-O7)/O7)*100</f>
        <v>-1.5277567690213281</v>
      </c>
    </row>
    <row r="67" spans="2:6" ht="15.6">
      <c r="B67" s="11">
        <f>((K12-K7)/K7)*100</f>
        <v>5.2968036529680367</v>
      </c>
    </row>
  </sheetData>
  <mergeCells count="3">
    <mergeCell ref="J4:L5"/>
    <mergeCell ref="N4:P5"/>
    <mergeCell ref="R4:T5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99639-BB98-44C5-ADAF-582691D05E93}">
  <dimension ref="A1:AC48"/>
  <sheetViews>
    <sheetView tabSelected="1" topLeftCell="N28" workbookViewId="0">
      <selection activeCell="AF62" sqref="AF62"/>
    </sheetView>
  </sheetViews>
  <sheetFormatPr defaultRowHeight="15.75"/>
  <cols>
    <col min="1" max="1" width="10.375" customWidth="1"/>
    <col min="2" max="2" width="32.125" bestFit="1" customWidth="1"/>
    <col min="3" max="3" width="18.5" customWidth="1"/>
    <col min="4" max="4" width="15.75" bestFit="1" customWidth="1"/>
    <col min="5" max="5" width="17.125" customWidth="1"/>
    <col min="6" max="6" width="17.375" customWidth="1"/>
    <col min="7" max="7" width="16.625" customWidth="1"/>
    <col min="11" max="11" width="6.625" bestFit="1" customWidth="1"/>
    <col min="12" max="12" width="9.125" bestFit="1" customWidth="1"/>
    <col min="13" max="13" width="16.625" bestFit="1" customWidth="1"/>
    <col min="16" max="16" width="6.625" bestFit="1" customWidth="1"/>
    <col min="18" max="18" width="15.5" bestFit="1" customWidth="1"/>
    <col min="20" max="20" width="12" bestFit="1" customWidth="1"/>
    <col min="22" max="22" width="11.75" bestFit="1" customWidth="1"/>
    <col min="23" max="23" width="24.625" bestFit="1" customWidth="1"/>
    <col min="26" max="26" width="9.125" customWidth="1"/>
    <col min="27" max="27" width="20.375" bestFit="1" customWidth="1"/>
    <col min="28" max="28" width="11.75" bestFit="1" customWidth="1"/>
    <col min="29" max="29" width="24.625" bestFit="1" customWidth="1"/>
  </cols>
  <sheetData>
    <row r="1" spans="1:29">
      <c r="A1" s="2" t="s">
        <v>16</v>
      </c>
      <c r="B1" s="2" t="s">
        <v>2</v>
      </c>
      <c r="C1" s="2" t="s">
        <v>17</v>
      </c>
      <c r="D1" s="2" t="s">
        <v>18</v>
      </c>
      <c r="E1" s="2" t="s">
        <v>19</v>
      </c>
      <c r="F1" s="2" t="s">
        <v>10</v>
      </c>
      <c r="G1" s="2" t="s">
        <v>12</v>
      </c>
    </row>
    <row r="2" spans="1:29">
      <c r="A2" s="1">
        <v>44287</v>
      </c>
      <c r="B2" s="3">
        <v>52888</v>
      </c>
      <c r="C2" s="3">
        <v>1038285</v>
      </c>
      <c r="D2" s="3">
        <v>860141</v>
      </c>
      <c r="E2" s="3">
        <v>7392</v>
      </c>
      <c r="F2" s="3">
        <v>2190</v>
      </c>
      <c r="G2" s="4">
        <v>250407.38855399998</v>
      </c>
      <c r="J2" t="s">
        <v>41</v>
      </c>
    </row>
    <row r="3" spans="1:29">
      <c r="A3" s="1">
        <v>44317</v>
      </c>
      <c r="B3" s="3">
        <v>60500</v>
      </c>
      <c r="C3" s="3">
        <v>1043004</v>
      </c>
      <c r="D3" s="3">
        <v>865406</v>
      </c>
      <c r="E3" s="3">
        <v>8075</v>
      </c>
      <c r="F3" s="3">
        <v>2326</v>
      </c>
      <c r="G3" s="4">
        <v>336276.04296333337</v>
      </c>
      <c r="J3" s="15" t="s">
        <v>42</v>
      </c>
    </row>
    <row r="4" spans="1:29">
      <c r="A4" s="1">
        <v>44348</v>
      </c>
      <c r="B4" s="3">
        <v>56658</v>
      </c>
      <c r="C4" s="3">
        <v>995580</v>
      </c>
      <c r="D4" s="3">
        <v>813582</v>
      </c>
      <c r="E4" s="3">
        <v>9273</v>
      </c>
      <c r="F4" s="3">
        <v>2310</v>
      </c>
      <c r="G4" s="4">
        <v>381262.38719599997</v>
      </c>
    </row>
    <row r="5" spans="1:29" ht="15.75" customHeight="1">
      <c r="A5" s="1">
        <v>44378</v>
      </c>
      <c r="B5" s="3">
        <v>56490</v>
      </c>
      <c r="C5" s="3">
        <v>1084718</v>
      </c>
      <c r="D5" s="3">
        <v>892546</v>
      </c>
      <c r="E5" s="3">
        <v>7489</v>
      </c>
      <c r="F5" s="3">
        <v>2374</v>
      </c>
      <c r="G5" s="4">
        <v>439727.66515333328</v>
      </c>
    </row>
    <row r="6" spans="1:29" ht="15.75" customHeight="1">
      <c r="A6" s="1">
        <v>44409</v>
      </c>
      <c r="B6" s="3">
        <v>60082</v>
      </c>
      <c r="C6" s="3">
        <v>1419330</v>
      </c>
      <c r="D6" s="3">
        <v>1195234</v>
      </c>
      <c r="E6" s="3">
        <v>8921</v>
      </c>
      <c r="F6" s="3">
        <v>2488</v>
      </c>
      <c r="G6" s="4">
        <v>724186.37303333322</v>
      </c>
      <c r="J6" s="36" t="s">
        <v>43</v>
      </c>
      <c r="K6" s="36"/>
      <c r="L6" s="36"/>
      <c r="M6" s="36"/>
      <c r="N6" s="36"/>
      <c r="O6" s="36"/>
      <c r="P6" s="36"/>
      <c r="Q6" s="36"/>
      <c r="R6" s="36"/>
      <c r="T6" s="37" t="s">
        <v>44</v>
      </c>
      <c r="U6" s="37"/>
      <c r="V6" s="37"/>
      <c r="W6" s="37"/>
      <c r="Z6" s="34" t="s">
        <v>45</v>
      </c>
      <c r="AA6" s="34"/>
      <c r="AB6" s="34"/>
      <c r="AC6" s="34"/>
    </row>
    <row r="7" spans="1:29" ht="15.75" customHeight="1">
      <c r="A7" s="1">
        <v>44440</v>
      </c>
      <c r="B7" s="3">
        <v>52080</v>
      </c>
      <c r="C7" s="3">
        <v>1470623</v>
      </c>
      <c r="D7" s="3">
        <v>1231490</v>
      </c>
      <c r="E7" s="3">
        <v>8730</v>
      </c>
      <c r="F7" s="3">
        <v>2306</v>
      </c>
      <c r="G7" s="4">
        <v>620353.1772113333</v>
      </c>
      <c r="J7" s="36"/>
      <c r="K7" s="36"/>
      <c r="L7" s="36"/>
      <c r="M7" s="36"/>
      <c r="N7" s="36"/>
      <c r="O7" s="36"/>
      <c r="P7" s="36"/>
      <c r="Q7" s="36"/>
      <c r="R7" s="36"/>
      <c r="T7" s="37"/>
      <c r="U7" s="37"/>
      <c r="V7" s="37"/>
      <c r="W7" s="37"/>
      <c r="Z7" s="35"/>
      <c r="AA7" s="35"/>
      <c r="AB7" s="35"/>
      <c r="AC7" s="35"/>
    </row>
    <row r="8" spans="1:29">
      <c r="A8" s="1">
        <v>44470</v>
      </c>
      <c r="B8" s="3">
        <v>56637</v>
      </c>
      <c r="C8" s="3">
        <v>1380065</v>
      </c>
      <c r="D8" s="3">
        <v>1147967</v>
      </c>
      <c r="E8" s="3">
        <v>8378</v>
      </c>
      <c r="F8" s="3">
        <v>2057</v>
      </c>
      <c r="G8" s="4">
        <v>547077.52412666671</v>
      </c>
      <c r="J8" s="9" t="s">
        <v>46</v>
      </c>
      <c r="K8" s="9" t="s">
        <v>47</v>
      </c>
      <c r="L8" s="9" t="s">
        <v>48</v>
      </c>
      <c r="M8" s="9" t="s">
        <v>49</v>
      </c>
      <c r="O8" s="9" t="s">
        <v>46</v>
      </c>
      <c r="P8" s="9" t="s">
        <v>47</v>
      </c>
      <c r="Q8" s="9" t="s">
        <v>50</v>
      </c>
      <c r="R8" s="9" t="s">
        <v>51</v>
      </c>
      <c r="T8" s="9" t="s">
        <v>46</v>
      </c>
      <c r="U8" s="9" t="s">
        <v>50</v>
      </c>
      <c r="V8" s="9" t="s">
        <v>52</v>
      </c>
      <c r="W8" s="9" t="s">
        <v>53</v>
      </c>
      <c r="Z8" s="9" t="s">
        <v>46</v>
      </c>
      <c r="AA8" s="9" t="s">
        <v>47</v>
      </c>
      <c r="AB8" s="9" t="s">
        <v>52</v>
      </c>
      <c r="AC8" s="9" t="s">
        <v>54</v>
      </c>
    </row>
    <row r="9" spans="1:29">
      <c r="A9" s="1">
        <v>44501</v>
      </c>
      <c r="B9" s="3">
        <v>51366</v>
      </c>
      <c r="C9" s="3">
        <v>1384710</v>
      </c>
      <c r="D9" s="3">
        <v>1132634</v>
      </c>
      <c r="E9" s="3">
        <v>7855</v>
      </c>
      <c r="F9" s="3">
        <v>2030</v>
      </c>
      <c r="G9" s="4">
        <v>552239.6281193333</v>
      </c>
      <c r="J9" s="17">
        <v>44287</v>
      </c>
      <c r="K9" s="8">
        <f>E2</f>
        <v>7392</v>
      </c>
      <c r="L9" s="8">
        <f>C2</f>
        <v>1038285</v>
      </c>
      <c r="M9" s="18">
        <f>(K9/L9)*100</f>
        <v>0.71194325257516</v>
      </c>
      <c r="O9" s="17">
        <v>44287</v>
      </c>
      <c r="P9" s="8">
        <f>E2</f>
        <v>7392</v>
      </c>
      <c r="Q9" s="8">
        <f>F2</f>
        <v>2190</v>
      </c>
      <c r="R9" s="18">
        <f>(Q9/P9)*100</f>
        <v>29.626623376623378</v>
      </c>
      <c r="T9" s="17">
        <v>44287</v>
      </c>
      <c r="U9" s="8">
        <f>F2</f>
        <v>2190</v>
      </c>
      <c r="V9" s="8">
        <f>G2</f>
        <v>250407.38855399998</v>
      </c>
      <c r="W9" s="18">
        <f>(V9/U9)</f>
        <v>114.34127331232875</v>
      </c>
      <c r="Z9" s="17">
        <v>44287</v>
      </c>
      <c r="AA9" s="8">
        <f>P9</f>
        <v>7392</v>
      </c>
      <c r="AB9" s="8">
        <f>V9</f>
        <v>250407.38855399998</v>
      </c>
      <c r="AC9" s="18">
        <f>(AB9/AA9)</f>
        <v>33.875458408279215</v>
      </c>
    </row>
    <row r="10" spans="1:29">
      <c r="A10" s="1">
        <v>44531</v>
      </c>
      <c r="B10" s="3">
        <v>32338</v>
      </c>
      <c r="C10" s="3">
        <v>1156736</v>
      </c>
      <c r="D10" s="3">
        <v>949588</v>
      </c>
      <c r="E10" s="3">
        <v>7645</v>
      </c>
      <c r="F10" s="3">
        <v>1906</v>
      </c>
      <c r="G10" s="4">
        <v>573339.02338533336</v>
      </c>
      <c r="J10" s="17">
        <v>44317</v>
      </c>
      <c r="K10" s="8">
        <f>E3</f>
        <v>8075</v>
      </c>
      <c r="L10" s="8">
        <f>C3</f>
        <v>1043004</v>
      </c>
      <c r="M10" s="18">
        <f>(K10/L10)*100</f>
        <v>0.77420604331335263</v>
      </c>
      <c r="O10" s="17">
        <v>44317</v>
      </c>
      <c r="P10" s="8">
        <f>E3</f>
        <v>8075</v>
      </c>
      <c r="Q10" s="8">
        <f>F3</f>
        <v>2326</v>
      </c>
      <c r="R10" s="18">
        <f t="shared" ref="R10:R21" si="0">(Q10/P10)*100</f>
        <v>28.804953560371516</v>
      </c>
      <c r="T10" s="17">
        <v>44317</v>
      </c>
      <c r="U10" s="8">
        <f>F3</f>
        <v>2326</v>
      </c>
      <c r="V10" s="8">
        <f>G3</f>
        <v>336276.04296333337</v>
      </c>
      <c r="W10" s="18">
        <f t="shared" ref="W10:W21" si="1">(V10/U10)</f>
        <v>144.57267539266266</v>
      </c>
      <c r="Z10" s="17">
        <v>44317</v>
      </c>
      <c r="AA10" s="8">
        <f>P10</f>
        <v>8075</v>
      </c>
      <c r="AB10" s="8">
        <f>V10</f>
        <v>336276.04296333337</v>
      </c>
      <c r="AC10" s="18">
        <f t="shared" ref="AC10:AC21" si="2">(AB10/AA10)</f>
        <v>41.644092007843142</v>
      </c>
    </row>
    <row r="11" spans="1:29">
      <c r="A11" s="1">
        <v>44562</v>
      </c>
      <c r="B11" s="3">
        <v>54940</v>
      </c>
      <c r="C11" s="3">
        <v>1571792</v>
      </c>
      <c r="D11" s="3">
        <v>1333751</v>
      </c>
      <c r="E11" s="3">
        <v>12368</v>
      </c>
      <c r="F11" s="3">
        <v>2769</v>
      </c>
      <c r="G11" s="4">
        <v>899200.07186200004</v>
      </c>
      <c r="J11" s="17">
        <v>44348</v>
      </c>
      <c r="K11" s="8">
        <f>E4</f>
        <v>9273</v>
      </c>
      <c r="L11" s="8">
        <f>C4</f>
        <v>995580</v>
      </c>
      <c r="M11" s="18">
        <f t="shared" ref="M10:M21" si="3">(K11/L11)*100</f>
        <v>0.93141686253239309</v>
      </c>
      <c r="O11" s="17">
        <v>44348</v>
      </c>
      <c r="P11" s="8">
        <f>E4</f>
        <v>9273</v>
      </c>
      <c r="Q11" s="8">
        <f>F4</f>
        <v>2310</v>
      </c>
      <c r="R11" s="18">
        <f t="shared" si="0"/>
        <v>24.911032028469752</v>
      </c>
      <c r="T11" s="17">
        <v>44348</v>
      </c>
      <c r="U11" s="8">
        <f>F4</f>
        <v>2310</v>
      </c>
      <c r="V11" s="8">
        <f>G4</f>
        <v>381262.38719599997</v>
      </c>
      <c r="W11" s="18">
        <f t="shared" si="1"/>
        <v>165.04865246580084</v>
      </c>
      <c r="Z11" s="17">
        <v>44348</v>
      </c>
      <c r="AA11" s="8">
        <f>P11</f>
        <v>9273</v>
      </c>
      <c r="AB11" s="8">
        <f>V11</f>
        <v>381262.38719599997</v>
      </c>
      <c r="AC11" s="18">
        <f t="shared" si="2"/>
        <v>41.115322678313376</v>
      </c>
    </row>
    <row r="12" spans="1:29">
      <c r="A12" s="1">
        <v>44593</v>
      </c>
      <c r="B12" s="3">
        <v>49571</v>
      </c>
      <c r="C12" s="3">
        <v>1500872</v>
      </c>
      <c r="D12" s="3">
        <v>1244169</v>
      </c>
      <c r="E12" s="3">
        <v>11118</v>
      </c>
      <c r="F12" s="3">
        <v>2574</v>
      </c>
      <c r="G12" s="4">
        <v>821752.86516799999</v>
      </c>
      <c r="J12" s="17">
        <v>44378</v>
      </c>
      <c r="K12" s="8">
        <f>E5</f>
        <v>7489</v>
      </c>
      <c r="L12" s="8">
        <f>C5</f>
        <v>1084718</v>
      </c>
      <c r="M12" s="18">
        <f t="shared" si="3"/>
        <v>0.6904098576772949</v>
      </c>
      <c r="O12" s="17">
        <v>44378</v>
      </c>
      <c r="P12" s="8">
        <f>E5</f>
        <v>7489</v>
      </c>
      <c r="Q12" s="8">
        <f>F5</f>
        <v>2374</v>
      </c>
      <c r="R12" s="18">
        <f t="shared" si="0"/>
        <v>31.699826412071037</v>
      </c>
      <c r="T12" s="17">
        <v>44378</v>
      </c>
      <c r="U12" s="8">
        <f>F5</f>
        <v>2374</v>
      </c>
      <c r="V12" s="8">
        <f>G5</f>
        <v>439727.66515333328</v>
      </c>
      <c r="W12" s="18">
        <f t="shared" si="1"/>
        <v>185.22648068800896</v>
      </c>
      <c r="Z12" s="17">
        <v>44378</v>
      </c>
      <c r="AA12" s="8">
        <f>P12</f>
        <v>7489</v>
      </c>
      <c r="AB12" s="8">
        <f>V12</f>
        <v>439727.66515333328</v>
      </c>
      <c r="AC12" s="18">
        <f t="shared" si="2"/>
        <v>58.716472847287122</v>
      </c>
    </row>
    <row r="13" spans="1:29">
      <c r="A13" s="1">
        <v>44621</v>
      </c>
      <c r="B13" s="3">
        <v>58036</v>
      </c>
      <c r="C13" s="3">
        <v>1603261</v>
      </c>
      <c r="D13" s="3">
        <v>1376502</v>
      </c>
      <c r="E13" s="3">
        <v>11758</v>
      </c>
      <c r="F13" s="3">
        <v>2934</v>
      </c>
      <c r="G13" s="4">
        <v>942214.74516666669</v>
      </c>
      <c r="J13" s="17">
        <v>44409</v>
      </c>
      <c r="K13" s="8">
        <f>E6</f>
        <v>8921</v>
      </c>
      <c r="L13" s="8">
        <f>C6</f>
        <v>1419330</v>
      </c>
      <c r="M13" s="18">
        <f t="shared" si="3"/>
        <v>0.62853599937998916</v>
      </c>
      <c r="O13" s="17">
        <v>44409</v>
      </c>
      <c r="P13" s="8">
        <f>E6</f>
        <v>8921</v>
      </c>
      <c r="Q13" s="8">
        <f>F6</f>
        <v>2488</v>
      </c>
      <c r="R13" s="18">
        <f t="shared" si="0"/>
        <v>27.889250084071293</v>
      </c>
      <c r="T13" s="17">
        <v>44409</v>
      </c>
      <c r="U13" s="8">
        <f>F6</f>
        <v>2488</v>
      </c>
      <c r="V13" s="8">
        <f>G6</f>
        <v>724186.37303333322</v>
      </c>
      <c r="W13" s="18">
        <f t="shared" si="1"/>
        <v>291.07169334137188</v>
      </c>
      <c r="Z13" s="17">
        <v>44409</v>
      </c>
      <c r="AA13" s="8">
        <f>P13</f>
        <v>8921</v>
      </c>
      <c r="AB13" s="8">
        <f>V13</f>
        <v>724186.37303333322</v>
      </c>
      <c r="AC13" s="18">
        <f t="shared" si="2"/>
        <v>81.177712479916295</v>
      </c>
    </row>
    <row r="14" spans="1:29">
      <c r="A14" s="1">
        <v>44652</v>
      </c>
      <c r="B14" s="3">
        <v>48602</v>
      </c>
      <c r="C14" s="3">
        <v>1501622</v>
      </c>
      <c r="D14" s="3">
        <v>1242901</v>
      </c>
      <c r="E14" s="3">
        <v>11759</v>
      </c>
      <c r="F14" s="3">
        <v>2686</v>
      </c>
      <c r="G14" s="4">
        <v>973711.53796266671</v>
      </c>
      <c r="J14" s="17">
        <v>44440</v>
      </c>
      <c r="K14" s="8">
        <f>E7</f>
        <v>8730</v>
      </c>
      <c r="L14" s="8">
        <f>C7</f>
        <v>1470623</v>
      </c>
      <c r="M14" s="18">
        <f t="shared" si="3"/>
        <v>0.59362596668214762</v>
      </c>
      <c r="O14" s="17">
        <v>44440</v>
      </c>
      <c r="P14" s="8">
        <f>E7</f>
        <v>8730</v>
      </c>
      <c r="Q14" s="8">
        <f>F7</f>
        <v>2306</v>
      </c>
      <c r="R14" s="18">
        <f t="shared" si="0"/>
        <v>26.41466208476518</v>
      </c>
      <c r="T14" s="17">
        <v>44440</v>
      </c>
      <c r="U14" s="8">
        <f>F7</f>
        <v>2306</v>
      </c>
      <c r="V14" s="8">
        <f>G7</f>
        <v>620353.1772113333</v>
      </c>
      <c r="W14" s="18">
        <f t="shared" si="1"/>
        <v>269.01698925036135</v>
      </c>
      <c r="Z14" s="17">
        <v>44440</v>
      </c>
      <c r="AA14" s="8">
        <f>P14</f>
        <v>8730</v>
      </c>
      <c r="AB14" s="8">
        <f>V14</f>
        <v>620353.1772113333</v>
      </c>
      <c r="AC14" s="18">
        <f t="shared" si="2"/>
        <v>71.059928661092016</v>
      </c>
    </row>
    <row r="15" spans="1:29">
      <c r="J15" s="17">
        <v>44470</v>
      </c>
      <c r="K15" s="8">
        <f>E8</f>
        <v>8378</v>
      </c>
      <c r="L15" s="8">
        <f>C8</f>
        <v>1380065</v>
      </c>
      <c r="M15" s="18">
        <f t="shared" si="3"/>
        <v>0.60707285526406363</v>
      </c>
      <c r="O15" s="17">
        <v>44470</v>
      </c>
      <c r="P15" s="8">
        <f>E8</f>
        <v>8378</v>
      </c>
      <c r="Q15" s="8">
        <f>F8</f>
        <v>2057</v>
      </c>
      <c r="R15" s="18">
        <f t="shared" si="0"/>
        <v>24.552399140606351</v>
      </c>
      <c r="T15" s="17">
        <v>44470</v>
      </c>
      <c r="U15" s="8">
        <f>F8</f>
        <v>2057</v>
      </c>
      <c r="V15" s="8">
        <f>G8</f>
        <v>547077.52412666671</v>
      </c>
      <c r="W15" s="18">
        <f t="shared" si="1"/>
        <v>265.9589324874413</v>
      </c>
      <c r="Z15" s="17">
        <v>44470</v>
      </c>
      <c r="AA15" s="8">
        <f>P15</f>
        <v>8378</v>
      </c>
      <c r="AB15" s="8">
        <f>V15</f>
        <v>547077.52412666671</v>
      </c>
      <c r="AC15" s="18">
        <f t="shared" si="2"/>
        <v>65.299298654412354</v>
      </c>
    </row>
    <row r="16" spans="1:29">
      <c r="J16" s="17">
        <v>44501</v>
      </c>
      <c r="K16" s="8">
        <f>E9</f>
        <v>7855</v>
      </c>
      <c r="L16" s="8">
        <f>C9</f>
        <v>1384710</v>
      </c>
      <c r="M16" s="18">
        <f t="shared" si="3"/>
        <v>0.56726679232474675</v>
      </c>
      <c r="O16" s="17">
        <v>44501</v>
      </c>
      <c r="P16" s="8">
        <f>E9</f>
        <v>7855</v>
      </c>
      <c r="Q16" s="8">
        <f>F9</f>
        <v>2030</v>
      </c>
      <c r="R16" s="18">
        <f t="shared" si="0"/>
        <v>25.843411839592616</v>
      </c>
      <c r="T16" s="17">
        <v>44501</v>
      </c>
      <c r="U16" s="8">
        <f>F9</f>
        <v>2030</v>
      </c>
      <c r="V16" s="8">
        <f>G9</f>
        <v>552239.6281193333</v>
      </c>
      <c r="W16" s="18">
        <f t="shared" si="1"/>
        <v>272.03922567454845</v>
      </c>
      <c r="Z16" s="17">
        <v>44501</v>
      </c>
      <c r="AA16" s="8">
        <f>P16</f>
        <v>7855</v>
      </c>
      <c r="AB16" s="8">
        <f>V16</f>
        <v>552239.6281193333</v>
      </c>
      <c r="AC16" s="18">
        <f t="shared" si="2"/>
        <v>70.30421745631233</v>
      </c>
    </row>
    <row r="17" spans="1:29">
      <c r="J17" s="17">
        <v>44531</v>
      </c>
      <c r="K17" s="8">
        <f>E10</f>
        <v>7645</v>
      </c>
      <c r="L17" s="8">
        <f>C10</f>
        <v>1156736</v>
      </c>
      <c r="M17" s="18">
        <f t="shared" si="3"/>
        <v>0.66091139205488547</v>
      </c>
      <c r="O17" s="17">
        <v>44531</v>
      </c>
      <c r="P17" s="8">
        <f>E10</f>
        <v>7645</v>
      </c>
      <c r="Q17" s="8">
        <f>F10</f>
        <v>1906</v>
      </c>
      <c r="R17" s="18">
        <f t="shared" si="0"/>
        <v>24.931327665140614</v>
      </c>
      <c r="T17" s="17">
        <v>44531</v>
      </c>
      <c r="U17" s="8">
        <f>F10</f>
        <v>1906</v>
      </c>
      <c r="V17" s="8">
        <f>G10</f>
        <v>573339.02338533336</v>
      </c>
      <c r="W17" s="18">
        <f t="shared" si="1"/>
        <v>300.80746242672262</v>
      </c>
      <c r="Z17" s="17">
        <v>44531</v>
      </c>
      <c r="AA17" s="8">
        <f>P17</f>
        <v>7645</v>
      </c>
      <c r="AB17" s="8">
        <f>V17</f>
        <v>573339.02338533336</v>
      </c>
      <c r="AC17" s="18">
        <f t="shared" si="2"/>
        <v>74.995294098800969</v>
      </c>
    </row>
    <row r="18" spans="1:29">
      <c r="J18" s="17">
        <v>44562</v>
      </c>
      <c r="K18" s="8">
        <f>E11</f>
        <v>12368</v>
      </c>
      <c r="L18" s="8">
        <f>C11</f>
        <v>1571792</v>
      </c>
      <c r="M18" s="18">
        <f t="shared" si="3"/>
        <v>0.78687256329081701</v>
      </c>
      <c r="O18" s="17">
        <v>44562</v>
      </c>
      <c r="P18" s="8">
        <f>E11</f>
        <v>12368</v>
      </c>
      <c r="Q18" s="8">
        <f>F11</f>
        <v>2769</v>
      </c>
      <c r="R18" s="18">
        <f t="shared" si="0"/>
        <v>22.388421733505822</v>
      </c>
      <c r="T18" s="17">
        <v>44562</v>
      </c>
      <c r="U18" s="8">
        <f>F11</f>
        <v>2769</v>
      </c>
      <c r="V18" s="8">
        <f>G11</f>
        <v>899200.07186200004</v>
      </c>
      <c r="W18" s="18">
        <f t="shared" si="1"/>
        <v>324.73819857782593</v>
      </c>
      <c r="Z18" s="17">
        <v>44562</v>
      </c>
      <c r="AA18" s="8">
        <f>P18</f>
        <v>12368</v>
      </c>
      <c r="AB18" s="8">
        <f>V18</f>
        <v>899200.07186200004</v>
      </c>
      <c r="AC18" s="18">
        <f t="shared" si="2"/>
        <v>72.703757427393271</v>
      </c>
    </row>
    <row r="19" spans="1:29">
      <c r="A19" s="23">
        <v>44287</v>
      </c>
      <c r="B19" t="s">
        <v>55</v>
      </c>
      <c r="D19" t="s">
        <v>56</v>
      </c>
      <c r="F19" s="8">
        <f>F14</f>
        <v>2686</v>
      </c>
      <c r="G19" s="8">
        <f>B14</f>
        <v>48602</v>
      </c>
      <c r="J19" s="17">
        <v>44593</v>
      </c>
      <c r="K19" s="8">
        <f>E12</f>
        <v>11118</v>
      </c>
      <c r="L19" s="8">
        <f>C12</f>
        <v>1500872</v>
      </c>
      <c r="M19" s="18">
        <f t="shared" si="3"/>
        <v>0.74076936607518828</v>
      </c>
      <c r="O19" s="17">
        <v>44593</v>
      </c>
      <c r="P19" s="8">
        <f>E12</f>
        <v>11118</v>
      </c>
      <c r="Q19" s="8">
        <f>F12</f>
        <v>2574</v>
      </c>
      <c r="R19" s="18">
        <f t="shared" si="0"/>
        <v>23.151645979492713</v>
      </c>
      <c r="T19" s="17">
        <v>44593</v>
      </c>
      <c r="U19" s="8">
        <f>F12</f>
        <v>2574</v>
      </c>
      <c r="V19" s="8">
        <f>G12</f>
        <v>821752.86516799999</v>
      </c>
      <c r="W19" s="18">
        <f t="shared" si="1"/>
        <v>319.25130736907539</v>
      </c>
      <c r="Z19" s="17">
        <v>44593</v>
      </c>
      <c r="AA19" s="8">
        <f>P19</f>
        <v>11118</v>
      </c>
      <c r="AB19" s="8">
        <f>V19</f>
        <v>821752.86516799999</v>
      </c>
      <c r="AC19" s="18">
        <f t="shared" si="2"/>
        <v>73.911932466990464</v>
      </c>
    </row>
    <row r="20" spans="1:29">
      <c r="A20" s="24">
        <v>44317</v>
      </c>
      <c r="B20" s="11">
        <f>((B3-B2)/B2)*100</f>
        <v>14.392678868552414</v>
      </c>
      <c r="D20" s="16">
        <f>(F19/G19)*100</f>
        <v>5.5265215423233611</v>
      </c>
      <c r="J20" s="17">
        <v>44621</v>
      </c>
      <c r="K20" s="8">
        <f>E13</f>
        <v>11758</v>
      </c>
      <c r="L20" s="8">
        <f>C13</f>
        <v>1603261</v>
      </c>
      <c r="M20" s="18">
        <f t="shared" si="3"/>
        <v>0.73338027931821448</v>
      </c>
      <c r="O20" s="17">
        <v>44621</v>
      </c>
      <c r="P20" s="8">
        <f>E13</f>
        <v>11758</v>
      </c>
      <c r="Q20" s="8">
        <f>F13</f>
        <v>2934</v>
      </c>
      <c r="R20" s="18">
        <f t="shared" si="0"/>
        <v>24.953223337302262</v>
      </c>
      <c r="T20" s="17">
        <v>44621</v>
      </c>
      <c r="U20" s="8">
        <f>F13</f>
        <v>2934</v>
      </c>
      <c r="V20" s="8">
        <f>G13</f>
        <v>942214.74516666669</v>
      </c>
      <c r="W20" s="18">
        <f t="shared" si="1"/>
        <v>321.13658662803908</v>
      </c>
      <c r="Z20" s="17">
        <v>44621</v>
      </c>
      <c r="AA20" s="8">
        <f>P20</f>
        <v>11758</v>
      </c>
      <c r="AB20" s="8">
        <f>V20</f>
        <v>942214.74516666669</v>
      </c>
      <c r="AC20" s="18">
        <f t="shared" si="2"/>
        <v>80.133929679083749</v>
      </c>
    </row>
    <row r="21" spans="1:29">
      <c r="A21" s="23">
        <v>44348</v>
      </c>
      <c r="B21" s="11">
        <f t="shared" ref="B21:B31" si="4">((B4-B3)/B3)*100</f>
        <v>-6.3504132231404959</v>
      </c>
      <c r="J21" s="19">
        <v>44652</v>
      </c>
      <c r="K21" s="20">
        <f>E14</f>
        <v>11759</v>
      </c>
      <c r="L21" s="20">
        <f>C14</f>
        <v>1501622</v>
      </c>
      <c r="M21" s="21">
        <f t="shared" si="3"/>
        <v>0.7830865557377289</v>
      </c>
      <c r="O21" s="19">
        <v>44652</v>
      </c>
      <c r="P21" s="20">
        <f>E14</f>
        <v>11759</v>
      </c>
      <c r="Q21" s="20">
        <f>F14</f>
        <v>2686</v>
      </c>
      <c r="R21" s="21">
        <f t="shared" si="0"/>
        <v>22.842078408027895</v>
      </c>
      <c r="T21" s="19">
        <v>44652</v>
      </c>
      <c r="U21" s="8">
        <f>F14</f>
        <v>2686</v>
      </c>
      <c r="V21" s="8">
        <f>G14</f>
        <v>973711.53796266671</v>
      </c>
      <c r="W21" s="18">
        <f t="shared" si="1"/>
        <v>362.51360311342768</v>
      </c>
      <c r="Z21" s="19">
        <v>44652</v>
      </c>
      <c r="AA21" s="20">
        <f>P21</f>
        <v>11759</v>
      </c>
      <c r="AB21" s="20">
        <f>V21</f>
        <v>973711.53796266671</v>
      </c>
      <c r="AC21" s="18">
        <f t="shared" si="2"/>
        <v>82.805641462936194</v>
      </c>
    </row>
    <row r="22" spans="1:29">
      <c r="A22" s="24">
        <v>44378</v>
      </c>
      <c r="B22" s="11">
        <f t="shared" si="4"/>
        <v>-0.29651593773165308</v>
      </c>
      <c r="J22" s="32" t="s">
        <v>57</v>
      </c>
      <c r="K22" s="32"/>
      <c r="L22" s="32"/>
      <c r="M22" s="32"/>
      <c r="O22" s="32" t="s">
        <v>58</v>
      </c>
      <c r="P22" s="32"/>
      <c r="Q22" s="32"/>
      <c r="R22" s="32"/>
      <c r="W22" s="22" t="s">
        <v>29</v>
      </c>
      <c r="AA22" s="22" t="s">
        <v>59</v>
      </c>
      <c r="AC22" s="22" t="s">
        <v>60</v>
      </c>
    </row>
    <row r="23" spans="1:29">
      <c r="A23" s="23">
        <v>44409</v>
      </c>
      <c r="B23" s="11">
        <f t="shared" si="4"/>
        <v>6.3586475482386255</v>
      </c>
      <c r="M23" s="22" t="s">
        <v>29</v>
      </c>
      <c r="R23" s="22" t="s">
        <v>29</v>
      </c>
      <c r="W23" s="11">
        <f>(($W$21-$W$9)/$W$9)*100</f>
        <v>217.04527386467362</v>
      </c>
      <c r="AA23" s="11">
        <f>(($AA$21-$AA$9)/$AA$9)*100</f>
        <v>59.077380952380956</v>
      </c>
      <c r="AC23" s="11">
        <f>(($AC$21-$AC$9)/$AC$9)*100</f>
        <v>144.4413901796776</v>
      </c>
    </row>
    <row r="24" spans="1:29">
      <c r="A24" s="24">
        <v>44440</v>
      </c>
      <c r="B24" s="11">
        <f t="shared" si="4"/>
        <v>-13.31846476482141</v>
      </c>
      <c r="M24" s="16">
        <f>(($M$21-$M$9)/$M$9)*100</f>
        <v>9.9928334042407787</v>
      </c>
      <c r="R24" s="11">
        <f>(($R$21-$R$9)/$R$9)*100</f>
        <v>-22.900162743314066</v>
      </c>
    </row>
    <row r="25" spans="1:29">
      <c r="A25" s="23">
        <v>44470</v>
      </c>
      <c r="B25" s="11">
        <f t="shared" si="4"/>
        <v>8.75</v>
      </c>
    </row>
    <row r="26" spans="1:29">
      <c r="A26" s="24">
        <v>44501</v>
      </c>
      <c r="B26" s="11">
        <f t="shared" si="4"/>
        <v>-9.3066370040786062</v>
      </c>
    </row>
    <row r="27" spans="1:29">
      <c r="A27" s="23">
        <v>44531</v>
      </c>
      <c r="B27" s="11">
        <f t="shared" si="4"/>
        <v>-37.043959039053071</v>
      </c>
    </row>
    <row r="28" spans="1:29">
      <c r="A28" s="24">
        <v>44562</v>
      </c>
      <c r="B28" s="11">
        <f t="shared" si="4"/>
        <v>69.893005133279729</v>
      </c>
    </row>
    <row r="29" spans="1:29">
      <c r="A29" s="23">
        <v>44593</v>
      </c>
      <c r="B29" s="11">
        <f t="shared" si="4"/>
        <v>-9.7724790680742633</v>
      </c>
    </row>
    <row r="30" spans="1:29">
      <c r="A30" s="24">
        <v>44621</v>
      </c>
      <c r="B30" s="11">
        <f t="shared" si="4"/>
        <v>17.076516511670128</v>
      </c>
    </row>
    <row r="31" spans="1:29">
      <c r="A31" s="25">
        <v>44652</v>
      </c>
      <c r="B31" s="11">
        <f>((B14-B13)/B13)*100</f>
        <v>-16.255427665586879</v>
      </c>
    </row>
    <row r="42" spans="5:27">
      <c r="T42" s="22" t="s">
        <v>29</v>
      </c>
    </row>
    <row r="43" spans="5:27">
      <c r="E43" s="22" t="s">
        <v>29</v>
      </c>
      <c r="J43" s="32" t="s">
        <v>29</v>
      </c>
      <c r="K43" s="32"/>
      <c r="T43" s="11">
        <f>(($W$21-$W$9)/$W$9)*100</f>
        <v>217.04527386467362</v>
      </c>
      <c r="AA43" s="22" t="s">
        <v>60</v>
      </c>
    </row>
    <row r="44" spans="5:27">
      <c r="E44" s="11">
        <f>(($M$21-$M$9)/$M$9)*100</f>
        <v>9.9928334042407787</v>
      </c>
      <c r="J44" s="33">
        <f>(($R$21-$R$9)/$R$9)*100</f>
        <v>-22.900162743314066</v>
      </c>
      <c r="K44" s="33"/>
      <c r="AA44" s="11">
        <f>(($AC$21-$AC$9)/$AC$9)*100</f>
        <v>144.4413901796776</v>
      </c>
    </row>
    <row r="45" spans="5:27">
      <c r="O45">
        <f>((K21-K9)/K9)*100</f>
        <v>59.077380952380956</v>
      </c>
    </row>
    <row r="48" spans="5:27">
      <c r="X48" s="11"/>
    </row>
  </sheetData>
  <mergeCells count="7">
    <mergeCell ref="J43:K43"/>
    <mergeCell ref="J44:K44"/>
    <mergeCell ref="Z6:AC7"/>
    <mergeCell ref="J6:R7"/>
    <mergeCell ref="J22:M22"/>
    <mergeCell ref="O22:R22"/>
    <mergeCell ref="T6:W7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309E5-DF9E-4BB0-B2C8-F497E1A37FEC}">
  <dimension ref="A1:W23"/>
  <sheetViews>
    <sheetView workbookViewId="0">
      <selection activeCell="G16" sqref="G16"/>
    </sheetView>
  </sheetViews>
  <sheetFormatPr defaultRowHeight="15.75"/>
  <cols>
    <col min="2" max="2" width="13.5" customWidth="1"/>
    <col min="3" max="3" width="14.25" customWidth="1"/>
    <col min="4" max="4" width="13.75" customWidth="1"/>
    <col min="5" max="5" width="14" customWidth="1"/>
    <col min="6" max="6" width="15.875" customWidth="1"/>
    <col min="7" max="7" width="20.625" customWidth="1"/>
    <col min="9" max="9" width="10.75" customWidth="1"/>
    <col min="20" max="20" width="7" bestFit="1" customWidth="1"/>
    <col min="21" max="21" width="6.75" bestFit="1" customWidth="1"/>
    <col min="22" max="22" width="11.75" bestFit="1" customWidth="1"/>
    <col min="23" max="23" width="20.875" bestFit="1" customWidth="1"/>
  </cols>
  <sheetData>
    <row r="1" spans="1:23">
      <c r="A1" s="2" t="s">
        <v>16</v>
      </c>
      <c r="B1" s="2" t="s">
        <v>2</v>
      </c>
      <c r="C1" s="2" t="s">
        <v>17</v>
      </c>
      <c r="D1" s="2" t="s">
        <v>18</v>
      </c>
      <c r="E1" s="2" t="s">
        <v>19</v>
      </c>
      <c r="F1" s="2" t="s">
        <v>10</v>
      </c>
      <c r="G1" s="2" t="s">
        <v>12</v>
      </c>
    </row>
    <row r="2" spans="1:23" ht="15.75" customHeight="1">
      <c r="A2" s="1">
        <v>44287</v>
      </c>
      <c r="B2" s="3">
        <v>52888</v>
      </c>
      <c r="C2" s="3">
        <v>1038285</v>
      </c>
      <c r="D2" s="3">
        <v>860141</v>
      </c>
      <c r="E2" s="3">
        <v>7392</v>
      </c>
      <c r="F2" s="3">
        <v>2190</v>
      </c>
      <c r="G2" s="4">
        <v>250407.38855399998</v>
      </c>
    </row>
    <row r="3" spans="1:23" ht="15.75" customHeight="1">
      <c r="A3" s="1">
        <v>44317</v>
      </c>
      <c r="B3" s="3">
        <v>60500</v>
      </c>
      <c r="C3" s="3">
        <v>1043004</v>
      </c>
      <c r="D3" s="3">
        <v>865406</v>
      </c>
      <c r="E3" s="3">
        <v>8075</v>
      </c>
      <c r="F3" s="3">
        <v>2326</v>
      </c>
      <c r="G3" s="4">
        <v>336276.04296333337</v>
      </c>
    </row>
    <row r="4" spans="1:23">
      <c r="A4" s="1">
        <v>44348</v>
      </c>
      <c r="B4" s="3">
        <v>56658</v>
      </c>
      <c r="C4" s="3">
        <v>995580</v>
      </c>
      <c r="D4" s="3">
        <v>813582</v>
      </c>
      <c r="E4" s="3">
        <v>9273</v>
      </c>
      <c r="F4" s="3">
        <v>2310</v>
      </c>
      <c r="G4" s="4">
        <v>381262.38719599997</v>
      </c>
    </row>
    <row r="5" spans="1:23">
      <c r="A5" s="1">
        <v>44378</v>
      </c>
      <c r="B5" s="3">
        <v>56490</v>
      </c>
      <c r="C5" s="3">
        <v>1084718</v>
      </c>
      <c r="D5" s="3">
        <v>892546</v>
      </c>
      <c r="E5" s="3">
        <v>7489</v>
      </c>
      <c r="F5" s="3">
        <v>2374</v>
      </c>
      <c r="G5" s="4">
        <v>439727.66515333328</v>
      </c>
    </row>
    <row r="6" spans="1:23">
      <c r="A6" s="1">
        <v>44409</v>
      </c>
      <c r="B6" s="3">
        <v>60082</v>
      </c>
      <c r="C6" s="3">
        <v>1419330</v>
      </c>
      <c r="D6" s="3">
        <v>1195234</v>
      </c>
      <c r="E6" s="3">
        <v>8921</v>
      </c>
      <c r="F6" s="3">
        <v>2488</v>
      </c>
      <c r="G6" s="4">
        <v>724186.37303333322</v>
      </c>
      <c r="T6" s="37" t="s">
        <v>44</v>
      </c>
      <c r="U6" s="37"/>
      <c r="V6" s="37"/>
      <c r="W6" s="37"/>
    </row>
    <row r="7" spans="1:23">
      <c r="A7" s="1">
        <v>44440</v>
      </c>
      <c r="B7" s="3">
        <v>52080</v>
      </c>
      <c r="C7" s="3">
        <v>1470623</v>
      </c>
      <c r="D7" s="3">
        <v>1231490</v>
      </c>
      <c r="E7" s="3">
        <v>8730</v>
      </c>
      <c r="F7" s="3">
        <v>2306</v>
      </c>
      <c r="G7" s="4">
        <v>620353.1772113333</v>
      </c>
      <c r="T7" s="37"/>
      <c r="U7" s="37"/>
      <c r="V7" s="37"/>
      <c r="W7" s="37"/>
    </row>
    <row r="8" spans="1:23">
      <c r="A8" s="1">
        <v>44470</v>
      </c>
      <c r="B8" s="3">
        <v>56637</v>
      </c>
      <c r="C8" s="3">
        <v>1380065</v>
      </c>
      <c r="D8" s="3">
        <v>1147967</v>
      </c>
      <c r="E8" s="3">
        <v>8378</v>
      </c>
      <c r="F8" s="3">
        <v>2057</v>
      </c>
      <c r="G8" s="4">
        <v>547077.52412666671</v>
      </c>
      <c r="T8" s="9" t="s">
        <v>46</v>
      </c>
      <c r="U8" s="9" t="s">
        <v>50</v>
      </c>
      <c r="V8" s="9" t="s">
        <v>52</v>
      </c>
      <c r="W8" s="9" t="s">
        <v>53</v>
      </c>
    </row>
    <row r="9" spans="1:23">
      <c r="A9" s="1">
        <v>44501</v>
      </c>
      <c r="B9" s="3">
        <v>51366</v>
      </c>
      <c r="C9" s="3">
        <v>1384710</v>
      </c>
      <c r="D9" s="3">
        <v>1132634</v>
      </c>
      <c r="E9" s="3">
        <v>7855</v>
      </c>
      <c r="F9" s="3">
        <v>2030</v>
      </c>
      <c r="G9" s="4">
        <v>552239.6281193333</v>
      </c>
      <c r="T9" s="17">
        <v>44287</v>
      </c>
      <c r="U9" s="8">
        <f>F2</f>
        <v>2190</v>
      </c>
      <c r="V9" s="8">
        <f>G2</f>
        <v>250407.38855399998</v>
      </c>
      <c r="W9" s="18">
        <f>(V9/U9)</f>
        <v>114.34127331232875</v>
      </c>
    </row>
    <row r="10" spans="1:23">
      <c r="A10" s="1">
        <v>44531</v>
      </c>
      <c r="B10" s="3">
        <v>32338</v>
      </c>
      <c r="C10" s="3">
        <v>1156736</v>
      </c>
      <c r="D10" s="3">
        <v>949588</v>
      </c>
      <c r="E10" s="3">
        <v>7645</v>
      </c>
      <c r="F10" s="3">
        <v>1906</v>
      </c>
      <c r="G10" s="4">
        <v>573339.02338533336</v>
      </c>
      <c r="T10" s="17">
        <v>44317</v>
      </c>
      <c r="U10" s="8">
        <f>F3</f>
        <v>2326</v>
      </c>
      <c r="V10" s="8">
        <f>G3</f>
        <v>336276.04296333337</v>
      </c>
      <c r="W10" s="18">
        <f t="shared" ref="W10:W21" si="0">(V10/U10)</f>
        <v>144.57267539266266</v>
      </c>
    </row>
    <row r="11" spans="1:23">
      <c r="A11" s="1">
        <v>44562</v>
      </c>
      <c r="B11" s="3">
        <v>54940</v>
      </c>
      <c r="C11" s="3">
        <v>1571792</v>
      </c>
      <c r="D11" s="3">
        <v>1333751</v>
      </c>
      <c r="E11" s="3">
        <v>12368</v>
      </c>
      <c r="F11" s="3">
        <v>2769</v>
      </c>
      <c r="G11" s="4">
        <v>899200.07186200004</v>
      </c>
      <c r="T11" s="17">
        <v>44348</v>
      </c>
      <c r="U11" s="8">
        <f>F4</f>
        <v>2310</v>
      </c>
      <c r="V11" s="8">
        <f>G4</f>
        <v>381262.38719599997</v>
      </c>
      <c r="W11" s="18">
        <f t="shared" si="0"/>
        <v>165.04865246580084</v>
      </c>
    </row>
    <row r="12" spans="1:23">
      <c r="A12" s="1">
        <v>44593</v>
      </c>
      <c r="B12" s="3">
        <v>49571</v>
      </c>
      <c r="C12" s="3">
        <v>1500872</v>
      </c>
      <c r="D12" s="3">
        <v>1244169</v>
      </c>
      <c r="E12" s="3">
        <v>11118</v>
      </c>
      <c r="F12" s="3">
        <v>2574</v>
      </c>
      <c r="G12" s="4">
        <v>821752.86516799999</v>
      </c>
      <c r="T12" s="17">
        <v>44378</v>
      </c>
      <c r="U12" s="8">
        <f>F5</f>
        <v>2374</v>
      </c>
      <c r="V12" s="8">
        <f>G5</f>
        <v>439727.66515333328</v>
      </c>
      <c r="W12" s="18">
        <f t="shared" si="0"/>
        <v>185.22648068800896</v>
      </c>
    </row>
    <row r="13" spans="1:23">
      <c r="A13" s="1">
        <v>44621</v>
      </c>
      <c r="B13" s="3">
        <v>58036</v>
      </c>
      <c r="C13" s="3">
        <v>1603261</v>
      </c>
      <c r="D13" s="3">
        <v>1376502</v>
      </c>
      <c r="E13" s="3">
        <v>11758</v>
      </c>
      <c r="F13" s="3">
        <v>2934</v>
      </c>
      <c r="G13" s="4">
        <v>942214.74516666669</v>
      </c>
      <c r="T13" s="17">
        <v>44409</v>
      </c>
      <c r="U13" s="8">
        <f>F6</f>
        <v>2488</v>
      </c>
      <c r="V13" s="8">
        <f>G6</f>
        <v>724186.37303333322</v>
      </c>
      <c r="W13" s="18">
        <f t="shared" si="0"/>
        <v>291.07169334137188</v>
      </c>
    </row>
    <row r="14" spans="1:23">
      <c r="A14" s="1">
        <v>44652</v>
      </c>
      <c r="B14" s="3">
        <v>48602</v>
      </c>
      <c r="C14" s="3">
        <v>1501622</v>
      </c>
      <c r="D14" s="3">
        <v>1242901</v>
      </c>
      <c r="E14" s="3">
        <v>11759</v>
      </c>
      <c r="F14" s="3">
        <v>2686</v>
      </c>
      <c r="G14" s="4">
        <v>973711.53796266671</v>
      </c>
      <c r="T14" s="17">
        <v>44440</v>
      </c>
      <c r="U14" s="8">
        <f>F7</f>
        <v>2306</v>
      </c>
      <c r="V14" s="8">
        <f>G7</f>
        <v>620353.1772113333</v>
      </c>
      <c r="W14" s="18">
        <f t="shared" si="0"/>
        <v>269.01698925036135</v>
      </c>
    </row>
    <row r="15" spans="1:23">
      <c r="A15" s="1"/>
      <c r="B15" s="3">
        <v>48602</v>
      </c>
      <c r="C15" s="3"/>
      <c r="D15" s="3"/>
      <c r="E15" s="3"/>
      <c r="F15" s="3">
        <v>2930</v>
      </c>
      <c r="G15" s="4">
        <f>G20</f>
        <v>1057133.1683111286</v>
      </c>
      <c r="T15" s="17">
        <v>44470</v>
      </c>
      <c r="U15" s="8">
        <f>F8</f>
        <v>2057</v>
      </c>
      <c r="V15" s="8">
        <f>G8</f>
        <v>547077.52412666671</v>
      </c>
      <c r="W15" s="18">
        <f t="shared" si="0"/>
        <v>265.9589324874413</v>
      </c>
    </row>
    <row r="16" spans="1:23">
      <c r="I16" t="s">
        <v>61</v>
      </c>
      <c r="J16" t="s">
        <v>30</v>
      </c>
      <c r="T16" s="17">
        <v>44501</v>
      </c>
      <c r="U16" s="8">
        <f>F9</f>
        <v>2030</v>
      </c>
      <c r="V16" s="8">
        <f>G9</f>
        <v>552239.6281193333</v>
      </c>
      <c r="W16" s="18">
        <f t="shared" si="0"/>
        <v>272.03922567454845</v>
      </c>
    </row>
    <row r="17" spans="4:23">
      <c r="I17" s="16">
        <f>(F15/B15)*100</f>
        <v>6.0285584955351634</v>
      </c>
      <c r="J17">
        <v>94</v>
      </c>
      <c r="T17" s="17">
        <v>44531</v>
      </c>
      <c r="U17" s="8">
        <f>F10</f>
        <v>1906</v>
      </c>
      <c r="V17" s="8">
        <f>G10</f>
        <v>573339.02338533336</v>
      </c>
      <c r="W17" s="18">
        <f t="shared" si="0"/>
        <v>300.80746242672262</v>
      </c>
    </row>
    <row r="18" spans="4:23">
      <c r="T18" s="17">
        <v>44562</v>
      </c>
      <c r="U18" s="8">
        <f>F11</f>
        <v>2769</v>
      </c>
      <c r="V18" s="8">
        <f>G11</f>
        <v>899200.07186200004</v>
      </c>
      <c r="W18" s="18">
        <f t="shared" si="0"/>
        <v>324.73819857782593</v>
      </c>
    </row>
    <row r="19" spans="4:23">
      <c r="D19" s="8">
        <f>B15</f>
        <v>48602</v>
      </c>
      <c r="T19" s="17">
        <v>44593</v>
      </c>
      <c r="U19" s="8">
        <f>F12</f>
        <v>2574</v>
      </c>
      <c r="V19" s="8">
        <f>G12</f>
        <v>821752.86516799999</v>
      </c>
      <c r="W19" s="18">
        <f t="shared" si="0"/>
        <v>319.25130736907539</v>
      </c>
    </row>
    <row r="20" spans="4:23">
      <c r="E20">
        <f>(D19)*0.06</f>
        <v>2916.12</v>
      </c>
      <c r="G20" s="26">
        <f>E20*W21</f>
        <v>1057133.1683111286</v>
      </c>
      <c r="I20" t="s">
        <v>61</v>
      </c>
      <c r="J20" t="s">
        <v>30</v>
      </c>
      <c r="T20" s="17">
        <v>44621</v>
      </c>
      <c r="U20" s="8">
        <f>F13</f>
        <v>2934</v>
      </c>
      <c r="V20" s="8">
        <f>G13</f>
        <v>942214.74516666669</v>
      </c>
      <c r="W20" s="18">
        <f t="shared" si="0"/>
        <v>321.13658662803908</v>
      </c>
    </row>
    <row r="21" spans="4:23">
      <c r="I21" s="16">
        <f>(F14/B14)*100</f>
        <v>5.5265215423233611</v>
      </c>
      <c r="J21">
        <v>94.5</v>
      </c>
      <c r="T21" s="19">
        <v>44652</v>
      </c>
      <c r="U21" s="8">
        <f>F14</f>
        <v>2686</v>
      </c>
      <c r="V21" s="8">
        <f>G14</f>
        <v>973711.53796266671</v>
      </c>
      <c r="W21" s="18">
        <f t="shared" si="0"/>
        <v>362.51360311342768</v>
      </c>
    </row>
    <row r="22" spans="4:23">
      <c r="W22" s="22" t="s">
        <v>29</v>
      </c>
    </row>
    <row r="23" spans="4:23">
      <c r="W23" s="11">
        <f>(($W$21-$W$9)/$W$9)*100</f>
        <v>217.04527386467362</v>
      </c>
    </row>
  </sheetData>
  <mergeCells count="1">
    <mergeCell ref="T6:W7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2022-05-30T20:41:46Z</dcterms:created>
  <dcterms:modified xsi:type="dcterms:W3CDTF">2026-04-08T14:53:58Z</dcterms:modified>
  <cp:category/>
  <cp:contentStatus/>
</cp:coreProperties>
</file>